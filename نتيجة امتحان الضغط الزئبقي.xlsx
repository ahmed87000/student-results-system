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امتحانات الكورس الثاني\امتحانات كورس اول 2026\النتائج\"/>
    </mc:Choice>
  </mc:AlternateContent>
  <xr:revisionPtr revIDLastSave="0" documentId="13_ncr:1_{6F56BA08-B83B-434F-A671-F7E8D01F21CB}" xr6:coauthVersionLast="47" xr6:coauthVersionMax="47" xr10:uidLastSave="{00000000-0000-0000-0000-000000000000}"/>
  <bookViews>
    <workbookView xWindow="28680" yWindow="-120" windowWidth="38640" windowHeight="21240" xr2:uid="{64B607E4-2FA6-4167-B52D-26625A4C85A0}"/>
  </bookViews>
  <sheets>
    <sheet name="Sheet1" sheetId="1" r:id="rId1"/>
  </sheets>
  <definedNames>
    <definedName name="_xlnm._FilterDatabase" localSheetId="0" hidden="1">Sheet1!$A$1:$U$345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44" i="1" l="1"/>
  <c r="I344" i="1" s="1"/>
  <c r="G3" i="1" l="1"/>
  <c r="I3" i="1" s="1"/>
  <c r="G4" i="1"/>
  <c r="I4" i="1" s="1"/>
  <c r="G5" i="1"/>
  <c r="I5" i="1" s="1"/>
  <c r="G6" i="1"/>
  <c r="I6" i="1" s="1"/>
  <c r="G7" i="1"/>
  <c r="I7" i="1" s="1"/>
  <c r="G8" i="1"/>
  <c r="I8" i="1" s="1"/>
  <c r="G9" i="1"/>
  <c r="I9" i="1" s="1"/>
  <c r="G10" i="1"/>
  <c r="I10" i="1" s="1"/>
  <c r="G11" i="1"/>
  <c r="I11" i="1" s="1"/>
  <c r="G12" i="1"/>
  <c r="I12" i="1" s="1"/>
  <c r="G13" i="1"/>
  <c r="I13" i="1" s="1"/>
  <c r="G14" i="1"/>
  <c r="I14" i="1" s="1"/>
  <c r="G15" i="1"/>
  <c r="I15" i="1" s="1"/>
  <c r="G16" i="1"/>
  <c r="I16" i="1" s="1"/>
  <c r="G17" i="1"/>
  <c r="I17" i="1" s="1"/>
  <c r="G18" i="1"/>
  <c r="I18" i="1" s="1"/>
  <c r="G19" i="1"/>
  <c r="I19" i="1" s="1"/>
  <c r="G20" i="1"/>
  <c r="I20" i="1" s="1"/>
  <c r="G21" i="1"/>
  <c r="I21" i="1" s="1"/>
  <c r="G22" i="1"/>
  <c r="I22" i="1" s="1"/>
  <c r="G23" i="1"/>
  <c r="I23" i="1" s="1"/>
  <c r="G24" i="1"/>
  <c r="I24" i="1" s="1"/>
  <c r="G25" i="1"/>
  <c r="I25" i="1" s="1"/>
  <c r="G26" i="1"/>
  <c r="I26" i="1" s="1"/>
  <c r="G27" i="1"/>
  <c r="I27" i="1" s="1"/>
  <c r="G28" i="1"/>
  <c r="I28" i="1" s="1"/>
  <c r="G29" i="1"/>
  <c r="I29" i="1" s="1"/>
  <c r="G30" i="1"/>
  <c r="I30" i="1" s="1"/>
  <c r="G31" i="1"/>
  <c r="I31" i="1" s="1"/>
  <c r="G32" i="1"/>
  <c r="I32" i="1" s="1"/>
  <c r="G33" i="1"/>
  <c r="I33" i="1" s="1"/>
  <c r="G34" i="1"/>
  <c r="I34" i="1" s="1"/>
  <c r="G35" i="1"/>
  <c r="I35" i="1" s="1"/>
  <c r="G36" i="1"/>
  <c r="I36" i="1" s="1"/>
  <c r="G37" i="1"/>
  <c r="I37" i="1" s="1"/>
  <c r="G38" i="1"/>
  <c r="I38" i="1" s="1"/>
  <c r="G39" i="1"/>
  <c r="I39" i="1" s="1"/>
  <c r="G40" i="1"/>
  <c r="I40" i="1" s="1"/>
  <c r="G41" i="1"/>
  <c r="I41" i="1" s="1"/>
  <c r="G42" i="1"/>
  <c r="I42" i="1" s="1"/>
  <c r="G43" i="1"/>
  <c r="I43" i="1" s="1"/>
  <c r="G44" i="1"/>
  <c r="I44" i="1" s="1"/>
  <c r="G45" i="1"/>
  <c r="I45" i="1" s="1"/>
  <c r="G46" i="1"/>
  <c r="I46" i="1" s="1"/>
  <c r="G47" i="1"/>
  <c r="I47" i="1" s="1"/>
  <c r="G48" i="1"/>
  <c r="I48" i="1" s="1"/>
  <c r="G49" i="1"/>
  <c r="I49" i="1" s="1"/>
  <c r="G50" i="1"/>
  <c r="I50" i="1" s="1"/>
  <c r="G51" i="1"/>
  <c r="I51" i="1" s="1"/>
  <c r="G52" i="1"/>
  <c r="I52" i="1" s="1"/>
  <c r="G53" i="1"/>
  <c r="I53" i="1" s="1"/>
  <c r="G54" i="1"/>
  <c r="I54" i="1" s="1"/>
  <c r="G55" i="1"/>
  <c r="I55" i="1" s="1"/>
  <c r="G56" i="1"/>
  <c r="I56" i="1" s="1"/>
  <c r="G57" i="1"/>
  <c r="I57" i="1" s="1"/>
  <c r="G58" i="1"/>
  <c r="I58" i="1" s="1"/>
  <c r="G59" i="1"/>
  <c r="I59" i="1" s="1"/>
  <c r="G60" i="1"/>
  <c r="I60" i="1" s="1"/>
  <c r="G61" i="1"/>
  <c r="I61" i="1" s="1"/>
  <c r="G62" i="1"/>
  <c r="I62" i="1" s="1"/>
  <c r="G63" i="1"/>
  <c r="I63" i="1" s="1"/>
  <c r="G64" i="1"/>
  <c r="I64" i="1" s="1"/>
  <c r="G65" i="1"/>
  <c r="I65" i="1" s="1"/>
  <c r="G66" i="1"/>
  <c r="I66" i="1" s="1"/>
  <c r="G67" i="1"/>
  <c r="I67" i="1" s="1"/>
  <c r="G68" i="1"/>
  <c r="I68" i="1" s="1"/>
  <c r="G69" i="1"/>
  <c r="I69" i="1" s="1"/>
  <c r="G70" i="1"/>
  <c r="I70" i="1" s="1"/>
  <c r="G71" i="1"/>
  <c r="I71" i="1" s="1"/>
  <c r="G72" i="1"/>
  <c r="I72" i="1" s="1"/>
  <c r="G73" i="1"/>
  <c r="I73" i="1" s="1"/>
  <c r="G74" i="1"/>
  <c r="I74" i="1" s="1"/>
  <c r="G75" i="1"/>
  <c r="I75" i="1" s="1"/>
  <c r="G76" i="1"/>
  <c r="I76" i="1" s="1"/>
  <c r="G77" i="1"/>
  <c r="I77" i="1" s="1"/>
  <c r="G78" i="1"/>
  <c r="I78" i="1" s="1"/>
  <c r="G79" i="1"/>
  <c r="I79" i="1" s="1"/>
  <c r="G80" i="1"/>
  <c r="I80" i="1" s="1"/>
  <c r="G81" i="1"/>
  <c r="I81" i="1" s="1"/>
  <c r="G82" i="1"/>
  <c r="I82" i="1" s="1"/>
  <c r="G83" i="1"/>
  <c r="I83" i="1" s="1"/>
  <c r="G84" i="1"/>
  <c r="I84" i="1" s="1"/>
  <c r="G85" i="1"/>
  <c r="I85" i="1" s="1"/>
  <c r="G86" i="1"/>
  <c r="I86" i="1" s="1"/>
  <c r="G87" i="1"/>
  <c r="I87" i="1" s="1"/>
  <c r="G88" i="1"/>
  <c r="I88" i="1" s="1"/>
  <c r="G89" i="1"/>
  <c r="I89" i="1" s="1"/>
  <c r="G90" i="1"/>
  <c r="I90" i="1" s="1"/>
  <c r="G91" i="1"/>
  <c r="I91" i="1" s="1"/>
  <c r="G92" i="1"/>
  <c r="I92" i="1" s="1"/>
  <c r="G93" i="1"/>
  <c r="I93" i="1" s="1"/>
  <c r="G94" i="1"/>
  <c r="I94" i="1" s="1"/>
  <c r="G95" i="1"/>
  <c r="I95" i="1" s="1"/>
  <c r="G96" i="1"/>
  <c r="I96" i="1" s="1"/>
  <c r="G97" i="1"/>
  <c r="I97" i="1" s="1"/>
  <c r="G98" i="1"/>
  <c r="I98" i="1" s="1"/>
  <c r="G99" i="1"/>
  <c r="I99" i="1" s="1"/>
  <c r="G100" i="1"/>
  <c r="I100" i="1" s="1"/>
  <c r="G101" i="1"/>
  <c r="I101" i="1" s="1"/>
  <c r="G102" i="1"/>
  <c r="I102" i="1" s="1"/>
  <c r="G103" i="1"/>
  <c r="I103" i="1" s="1"/>
  <c r="G104" i="1"/>
  <c r="I104" i="1" s="1"/>
  <c r="G105" i="1"/>
  <c r="I105" i="1" s="1"/>
  <c r="G106" i="1"/>
  <c r="I106" i="1" s="1"/>
  <c r="G107" i="1"/>
  <c r="I107" i="1" s="1"/>
  <c r="G108" i="1"/>
  <c r="I108" i="1" s="1"/>
  <c r="G109" i="1"/>
  <c r="I109" i="1" s="1"/>
  <c r="G110" i="1"/>
  <c r="I110" i="1" s="1"/>
  <c r="G111" i="1"/>
  <c r="I111" i="1" s="1"/>
  <c r="G112" i="1"/>
  <c r="I112" i="1" s="1"/>
  <c r="G113" i="1"/>
  <c r="I113" i="1" s="1"/>
  <c r="G114" i="1"/>
  <c r="I114" i="1" s="1"/>
  <c r="G115" i="1"/>
  <c r="I115" i="1" s="1"/>
  <c r="G116" i="1"/>
  <c r="I116" i="1" s="1"/>
  <c r="G117" i="1"/>
  <c r="I117" i="1" s="1"/>
  <c r="G118" i="1"/>
  <c r="I118" i="1" s="1"/>
  <c r="G177" i="1"/>
  <c r="I177" i="1" s="1"/>
  <c r="G176" i="1"/>
  <c r="I176" i="1" s="1"/>
  <c r="G175" i="1"/>
  <c r="I175" i="1" s="1"/>
  <c r="G174" i="1"/>
  <c r="I174" i="1" s="1"/>
  <c r="G173" i="1"/>
  <c r="I173" i="1" s="1"/>
  <c r="G172" i="1"/>
  <c r="I172" i="1" s="1"/>
  <c r="G171" i="1"/>
  <c r="I171" i="1" s="1"/>
  <c r="G170" i="1"/>
  <c r="I170" i="1" s="1"/>
  <c r="G169" i="1"/>
  <c r="I169" i="1" s="1"/>
  <c r="G168" i="1"/>
  <c r="I168" i="1" s="1"/>
  <c r="G167" i="1"/>
  <c r="I167" i="1" s="1"/>
  <c r="G166" i="1"/>
  <c r="I166" i="1" s="1"/>
  <c r="G165" i="1"/>
  <c r="I165" i="1" s="1"/>
  <c r="G164" i="1"/>
  <c r="I164" i="1" s="1"/>
  <c r="G163" i="1"/>
  <c r="I163" i="1" s="1"/>
  <c r="G162" i="1"/>
  <c r="I162" i="1" s="1"/>
  <c r="G161" i="1"/>
  <c r="I161" i="1" s="1"/>
  <c r="G160" i="1"/>
  <c r="I160" i="1" s="1"/>
  <c r="G159" i="1"/>
  <c r="I159" i="1" s="1"/>
  <c r="G158" i="1"/>
  <c r="I158" i="1" s="1"/>
  <c r="G157" i="1"/>
  <c r="I157" i="1" s="1"/>
  <c r="G156" i="1"/>
  <c r="I156" i="1" s="1"/>
  <c r="G155" i="1"/>
  <c r="I155" i="1" s="1"/>
  <c r="G154" i="1"/>
  <c r="I154" i="1" s="1"/>
  <c r="G153" i="1"/>
  <c r="I153" i="1" s="1"/>
  <c r="G152" i="1"/>
  <c r="I152" i="1" s="1"/>
  <c r="G151" i="1"/>
  <c r="I151" i="1" s="1"/>
  <c r="G150" i="1"/>
  <c r="I150" i="1" s="1"/>
  <c r="G149" i="1"/>
  <c r="I149" i="1" s="1"/>
  <c r="G148" i="1"/>
  <c r="I148" i="1" s="1"/>
  <c r="G147" i="1"/>
  <c r="I147" i="1" s="1"/>
  <c r="G146" i="1"/>
  <c r="I146" i="1" s="1"/>
  <c r="G145" i="1"/>
  <c r="I145" i="1" s="1"/>
  <c r="G144" i="1"/>
  <c r="I144" i="1" s="1"/>
  <c r="G143" i="1"/>
  <c r="I143" i="1" s="1"/>
  <c r="G142" i="1"/>
  <c r="I142" i="1" s="1"/>
  <c r="G141" i="1"/>
  <c r="I141" i="1" s="1"/>
  <c r="G140" i="1"/>
  <c r="I140" i="1" s="1"/>
  <c r="G139" i="1"/>
  <c r="I139" i="1" s="1"/>
  <c r="G138" i="1"/>
  <c r="I138" i="1" s="1"/>
  <c r="G137" i="1"/>
  <c r="I137" i="1" s="1"/>
  <c r="G136" i="1"/>
  <c r="I136" i="1" s="1"/>
  <c r="G135" i="1"/>
  <c r="I135" i="1" s="1"/>
  <c r="G134" i="1"/>
  <c r="I134" i="1" s="1"/>
  <c r="G133" i="1"/>
  <c r="I133" i="1" s="1"/>
  <c r="G132" i="1"/>
  <c r="I132" i="1" s="1"/>
  <c r="G131" i="1"/>
  <c r="I131" i="1" s="1"/>
  <c r="G130" i="1"/>
  <c r="I130" i="1" s="1"/>
  <c r="G129" i="1"/>
  <c r="I129" i="1" s="1"/>
  <c r="G128" i="1"/>
  <c r="I128" i="1" s="1"/>
  <c r="G127" i="1"/>
  <c r="I127" i="1" s="1"/>
  <c r="G126" i="1"/>
  <c r="I126" i="1" s="1"/>
  <c r="G125" i="1"/>
  <c r="I125" i="1" s="1"/>
  <c r="G124" i="1"/>
  <c r="I124" i="1" s="1"/>
  <c r="G123" i="1"/>
  <c r="I123" i="1" s="1"/>
  <c r="G122" i="1"/>
  <c r="I122" i="1" s="1"/>
  <c r="G121" i="1"/>
  <c r="I121" i="1" s="1"/>
  <c r="G120" i="1"/>
  <c r="I120" i="1" s="1"/>
  <c r="G119" i="1"/>
  <c r="I119" i="1" s="1"/>
  <c r="G178" i="1"/>
  <c r="I178" i="1" s="1"/>
  <c r="L178" i="1" s="1"/>
  <c r="G179" i="1"/>
  <c r="I179" i="1" s="1"/>
  <c r="L179" i="1" s="1"/>
  <c r="G180" i="1"/>
  <c r="I180" i="1" s="1"/>
  <c r="L180" i="1" s="1"/>
  <c r="G181" i="1"/>
  <c r="I181" i="1" s="1"/>
  <c r="L181" i="1" s="1"/>
  <c r="G183" i="1"/>
  <c r="I183" i="1" s="1"/>
  <c r="L183" i="1" s="1"/>
  <c r="G182" i="1"/>
  <c r="I182" i="1" s="1"/>
  <c r="L182" i="1" s="1"/>
  <c r="G184" i="1"/>
  <c r="I184" i="1" s="1"/>
  <c r="L184" i="1" s="1"/>
  <c r="G185" i="1"/>
  <c r="I185" i="1" s="1"/>
  <c r="L185" i="1" s="1"/>
  <c r="G186" i="1"/>
  <c r="I186" i="1" s="1"/>
  <c r="L186" i="1" s="1"/>
  <c r="G187" i="1"/>
  <c r="I187" i="1" s="1"/>
  <c r="L187" i="1" s="1"/>
  <c r="G188" i="1"/>
  <c r="I188" i="1" s="1"/>
  <c r="L188" i="1" s="1"/>
  <c r="G189" i="1"/>
  <c r="I189" i="1" s="1"/>
  <c r="L189" i="1" s="1"/>
  <c r="G190" i="1"/>
  <c r="I190" i="1" s="1"/>
  <c r="L190" i="1" s="1"/>
  <c r="G191" i="1"/>
  <c r="I191" i="1" s="1"/>
  <c r="L191" i="1" s="1"/>
  <c r="G192" i="1"/>
  <c r="I192" i="1" s="1"/>
  <c r="L192" i="1" s="1"/>
  <c r="G193" i="1"/>
  <c r="I193" i="1" s="1"/>
  <c r="L193" i="1" s="1"/>
  <c r="G194" i="1"/>
  <c r="I194" i="1" s="1"/>
  <c r="L194" i="1" s="1"/>
  <c r="G195" i="1"/>
  <c r="I195" i="1" s="1"/>
  <c r="L195" i="1" s="1"/>
  <c r="G196" i="1"/>
  <c r="I196" i="1" s="1"/>
  <c r="L196" i="1" s="1"/>
  <c r="G197" i="1"/>
  <c r="I197" i="1" s="1"/>
  <c r="L197" i="1" s="1"/>
  <c r="G198" i="1"/>
  <c r="I198" i="1" s="1"/>
  <c r="L198" i="1" s="1"/>
  <c r="G199" i="1"/>
  <c r="I199" i="1" s="1"/>
  <c r="L199" i="1" s="1"/>
  <c r="G200" i="1"/>
  <c r="I200" i="1" s="1"/>
  <c r="L200" i="1" s="1"/>
  <c r="G201" i="1"/>
  <c r="I201" i="1" s="1"/>
  <c r="L201" i="1" s="1"/>
  <c r="G202" i="1"/>
  <c r="I202" i="1" s="1"/>
  <c r="L202" i="1" s="1"/>
  <c r="G203" i="1"/>
  <c r="I203" i="1" s="1"/>
  <c r="L203" i="1" s="1"/>
  <c r="G204" i="1"/>
  <c r="I204" i="1" s="1"/>
  <c r="L204" i="1" s="1"/>
  <c r="G205" i="1"/>
  <c r="I205" i="1" s="1"/>
  <c r="L205" i="1" s="1"/>
  <c r="G206" i="1"/>
  <c r="I206" i="1" s="1"/>
  <c r="L206" i="1" s="1"/>
  <c r="G207" i="1"/>
  <c r="I207" i="1" s="1"/>
  <c r="L207" i="1" s="1"/>
  <c r="G208" i="1"/>
  <c r="I208" i="1" s="1"/>
  <c r="L208" i="1" s="1"/>
  <c r="G209" i="1"/>
  <c r="I209" i="1" s="1"/>
  <c r="L209" i="1" s="1"/>
  <c r="G210" i="1"/>
  <c r="I210" i="1" s="1"/>
  <c r="L210" i="1" s="1"/>
  <c r="G211" i="1"/>
  <c r="I211" i="1" s="1"/>
  <c r="L211" i="1" s="1"/>
  <c r="G212" i="1"/>
  <c r="I212" i="1" s="1"/>
  <c r="L212" i="1" s="1"/>
  <c r="G213" i="1"/>
  <c r="I213" i="1" s="1"/>
  <c r="L213" i="1" s="1"/>
  <c r="G214" i="1"/>
  <c r="I214" i="1" s="1"/>
  <c r="L214" i="1" s="1"/>
  <c r="G215" i="1"/>
  <c r="I215" i="1" s="1"/>
  <c r="L215" i="1" s="1"/>
  <c r="G216" i="1"/>
  <c r="I216" i="1" s="1"/>
  <c r="L216" i="1" s="1"/>
  <c r="G217" i="1"/>
  <c r="I217" i="1" s="1"/>
  <c r="L217" i="1" s="1"/>
  <c r="G218" i="1"/>
  <c r="I218" i="1" s="1"/>
  <c r="L218" i="1" s="1"/>
  <c r="G219" i="1"/>
  <c r="I219" i="1" s="1"/>
  <c r="L219" i="1" s="1"/>
  <c r="G220" i="1"/>
  <c r="I220" i="1" s="1"/>
  <c r="L220" i="1" s="1"/>
  <c r="G221" i="1"/>
  <c r="I221" i="1" s="1"/>
  <c r="L221" i="1" s="1"/>
  <c r="G222" i="1"/>
  <c r="I222" i="1" s="1"/>
  <c r="L222" i="1" s="1"/>
  <c r="G223" i="1"/>
  <c r="I223" i="1" s="1"/>
  <c r="L223" i="1" s="1"/>
  <c r="G224" i="1"/>
  <c r="I224" i="1" s="1"/>
  <c r="G225" i="1"/>
  <c r="I225" i="1" s="1"/>
  <c r="L225" i="1" s="1"/>
  <c r="G226" i="1"/>
  <c r="I226" i="1" s="1"/>
  <c r="L226" i="1" s="1"/>
  <c r="G227" i="1"/>
  <c r="I227" i="1" s="1"/>
  <c r="L227" i="1" s="1"/>
  <c r="G228" i="1"/>
  <c r="I228" i="1" s="1"/>
  <c r="L228" i="1" s="1"/>
  <c r="G229" i="1"/>
  <c r="I229" i="1" s="1"/>
  <c r="L229" i="1" s="1"/>
  <c r="G230" i="1"/>
  <c r="I230" i="1" s="1"/>
  <c r="L230" i="1" s="1"/>
  <c r="G231" i="1"/>
  <c r="I231" i="1" s="1"/>
  <c r="L231" i="1" s="1"/>
  <c r="G232" i="1"/>
  <c r="I232" i="1" s="1"/>
  <c r="L232" i="1" s="1"/>
  <c r="G233" i="1"/>
  <c r="I233" i="1" s="1"/>
  <c r="L233" i="1" s="1"/>
  <c r="G234" i="1"/>
  <c r="I234" i="1" s="1"/>
  <c r="L234" i="1" s="1"/>
  <c r="G235" i="1"/>
  <c r="I235" i="1" s="1"/>
  <c r="G236" i="1"/>
  <c r="I236" i="1" s="1"/>
  <c r="G237" i="1"/>
  <c r="I237" i="1" s="1"/>
  <c r="G238" i="1"/>
  <c r="I238" i="1" s="1"/>
  <c r="G239" i="1"/>
  <c r="I239" i="1" s="1"/>
  <c r="G240" i="1"/>
  <c r="I240" i="1" s="1"/>
  <c r="G241" i="1"/>
  <c r="I241" i="1" s="1"/>
  <c r="G242" i="1"/>
  <c r="I242" i="1" s="1"/>
  <c r="G243" i="1"/>
  <c r="I243" i="1" s="1"/>
  <c r="G244" i="1"/>
  <c r="I244" i="1" s="1"/>
  <c r="G245" i="1"/>
  <c r="I245" i="1" s="1"/>
  <c r="G246" i="1"/>
  <c r="I246" i="1" s="1"/>
  <c r="G247" i="1"/>
  <c r="I247" i="1" s="1"/>
  <c r="G248" i="1"/>
  <c r="I248" i="1" s="1"/>
  <c r="G249" i="1"/>
  <c r="I249" i="1" s="1"/>
  <c r="G250" i="1"/>
  <c r="I250" i="1" s="1"/>
  <c r="G251" i="1"/>
  <c r="I251" i="1" s="1"/>
  <c r="G252" i="1"/>
  <c r="I252" i="1" s="1"/>
  <c r="G253" i="1"/>
  <c r="I253" i="1" s="1"/>
  <c r="G254" i="1"/>
  <c r="I254" i="1" s="1"/>
  <c r="G255" i="1"/>
  <c r="I255" i="1" s="1"/>
  <c r="G256" i="1"/>
  <c r="I256" i="1" s="1"/>
  <c r="G257" i="1"/>
  <c r="I257" i="1" s="1"/>
  <c r="G258" i="1"/>
  <c r="I258" i="1" s="1"/>
  <c r="G259" i="1"/>
  <c r="I259" i="1" s="1"/>
  <c r="G260" i="1"/>
  <c r="I260" i="1" s="1"/>
  <c r="G261" i="1"/>
  <c r="I261" i="1" s="1"/>
  <c r="G262" i="1"/>
  <c r="I262" i="1" s="1"/>
  <c r="G263" i="1"/>
  <c r="I263" i="1" s="1"/>
  <c r="G264" i="1"/>
  <c r="I264" i="1" s="1"/>
  <c r="G265" i="1"/>
  <c r="I265" i="1" s="1"/>
  <c r="G266" i="1"/>
  <c r="I266" i="1" s="1"/>
  <c r="G267" i="1"/>
  <c r="I267" i="1" s="1"/>
  <c r="G268" i="1"/>
  <c r="I268" i="1" s="1"/>
  <c r="G269" i="1"/>
  <c r="I269" i="1" s="1"/>
  <c r="G270" i="1"/>
  <c r="I270" i="1" s="1"/>
  <c r="G271" i="1"/>
  <c r="I271" i="1" s="1"/>
  <c r="G272" i="1"/>
  <c r="I272" i="1" s="1"/>
  <c r="G273" i="1"/>
  <c r="I273" i="1" s="1"/>
  <c r="G274" i="1"/>
  <c r="I274" i="1" s="1"/>
  <c r="G275" i="1"/>
  <c r="I275" i="1" s="1"/>
  <c r="G276" i="1"/>
  <c r="I276" i="1" s="1"/>
  <c r="G277" i="1"/>
  <c r="I277" i="1" s="1"/>
  <c r="G278" i="1"/>
  <c r="I278" i="1" s="1"/>
  <c r="G279" i="1"/>
  <c r="I279" i="1" s="1"/>
  <c r="G280" i="1"/>
  <c r="I280" i="1" s="1"/>
  <c r="G281" i="1"/>
  <c r="I281" i="1" s="1"/>
  <c r="G282" i="1"/>
  <c r="I282" i="1" s="1"/>
  <c r="G283" i="1"/>
  <c r="I283" i="1" s="1"/>
  <c r="G284" i="1"/>
  <c r="I284" i="1" s="1"/>
  <c r="G285" i="1"/>
  <c r="I285" i="1" s="1"/>
  <c r="G286" i="1"/>
  <c r="I286" i="1" s="1"/>
  <c r="G287" i="1"/>
  <c r="I287" i="1" s="1"/>
  <c r="G288" i="1"/>
  <c r="I288" i="1" s="1"/>
  <c r="G289" i="1"/>
  <c r="I289" i="1" s="1"/>
  <c r="G290" i="1"/>
  <c r="I290" i="1" s="1"/>
  <c r="G291" i="1"/>
  <c r="I291" i="1" s="1"/>
  <c r="G292" i="1"/>
  <c r="I292" i="1" s="1"/>
  <c r="G293" i="1"/>
  <c r="I293" i="1" s="1"/>
  <c r="G294" i="1"/>
  <c r="I294" i="1" s="1"/>
  <c r="G295" i="1"/>
  <c r="I295" i="1" s="1"/>
  <c r="G296" i="1"/>
  <c r="I296" i="1" s="1"/>
  <c r="G297" i="1"/>
  <c r="I297" i="1" s="1"/>
  <c r="G298" i="1"/>
  <c r="I298" i="1" s="1"/>
  <c r="G299" i="1"/>
  <c r="I299" i="1" s="1"/>
  <c r="G300" i="1"/>
  <c r="I300" i="1" s="1"/>
  <c r="G301" i="1"/>
  <c r="I301" i="1" s="1"/>
  <c r="G302" i="1"/>
  <c r="I302" i="1" s="1"/>
  <c r="G303" i="1"/>
  <c r="I303" i="1" s="1"/>
  <c r="G304" i="1"/>
  <c r="I304" i="1" s="1"/>
  <c r="G305" i="1"/>
  <c r="I305" i="1" s="1"/>
  <c r="G306" i="1"/>
  <c r="I306" i="1" s="1"/>
  <c r="G307" i="1"/>
  <c r="I307" i="1" s="1"/>
  <c r="G308" i="1"/>
  <c r="I308" i="1" s="1"/>
  <c r="G309" i="1"/>
  <c r="I309" i="1" s="1"/>
  <c r="G310" i="1"/>
  <c r="I310" i="1" s="1"/>
  <c r="G311" i="1"/>
  <c r="I311" i="1" s="1"/>
  <c r="G312" i="1"/>
  <c r="I312" i="1" s="1"/>
  <c r="G313" i="1"/>
  <c r="I313" i="1" s="1"/>
  <c r="G314" i="1"/>
  <c r="I314" i="1" s="1"/>
  <c r="G315" i="1"/>
  <c r="I315" i="1" s="1"/>
  <c r="G316" i="1"/>
  <c r="I316" i="1" s="1"/>
  <c r="G317" i="1"/>
  <c r="I317" i="1" s="1"/>
  <c r="G318" i="1"/>
  <c r="I318" i="1" s="1"/>
  <c r="G319" i="1"/>
  <c r="I319" i="1" s="1"/>
  <c r="G320" i="1"/>
  <c r="I320" i="1" s="1"/>
  <c r="G321" i="1"/>
  <c r="I321" i="1" s="1"/>
  <c r="G322" i="1"/>
  <c r="I322" i="1" s="1"/>
  <c r="G323" i="1"/>
  <c r="I323" i="1" s="1"/>
  <c r="G324" i="1"/>
  <c r="I324" i="1" s="1"/>
  <c r="G325" i="1"/>
  <c r="I325" i="1" s="1"/>
  <c r="G326" i="1"/>
  <c r="I326" i="1" s="1"/>
  <c r="G327" i="1"/>
  <c r="I327" i="1" s="1"/>
  <c r="G328" i="1"/>
  <c r="I328" i="1" s="1"/>
  <c r="G329" i="1"/>
  <c r="I329" i="1" s="1"/>
  <c r="G330" i="1"/>
  <c r="I330" i="1" s="1"/>
  <c r="G331" i="1"/>
  <c r="I331" i="1" s="1"/>
  <c r="G332" i="1"/>
  <c r="I332" i="1" s="1"/>
  <c r="G333" i="1"/>
  <c r="I333" i="1" s="1"/>
  <c r="G334" i="1"/>
  <c r="I334" i="1" s="1"/>
  <c r="G335" i="1"/>
  <c r="I335" i="1" s="1"/>
  <c r="G336" i="1"/>
  <c r="I336" i="1" s="1"/>
  <c r="G337" i="1"/>
  <c r="I337" i="1" s="1"/>
  <c r="G338" i="1"/>
  <c r="I338" i="1" s="1"/>
  <c r="G339" i="1"/>
  <c r="I339" i="1" s="1"/>
  <c r="G340" i="1"/>
  <c r="I340" i="1" s="1"/>
  <c r="G341" i="1"/>
  <c r="I341" i="1" s="1"/>
  <c r="G342" i="1"/>
  <c r="I342" i="1" s="1"/>
  <c r="G343" i="1"/>
  <c r="I343" i="1" s="1"/>
  <c r="G345" i="1"/>
  <c r="I345" i="1" s="1"/>
  <c r="G2" i="1"/>
  <c r="I2" i="1" s="1"/>
  <c r="M119" i="1" l="1"/>
  <c r="L120" i="1"/>
  <c r="M121" i="1"/>
  <c r="M2" i="1"/>
  <c r="L3" i="1"/>
  <c r="L4" i="1"/>
  <c r="L5" i="1"/>
  <c r="M6" i="1"/>
  <c r="M7" i="1"/>
  <c r="M8" i="1"/>
  <c r="L9" i="1"/>
  <c r="M10" i="1"/>
  <c r="L11" i="1"/>
  <c r="M12" i="1"/>
  <c r="M13" i="1"/>
  <c r="M14" i="1"/>
  <c r="L15" i="1"/>
  <c r="M16" i="1"/>
  <c r="M17" i="1"/>
  <c r="M18" i="1"/>
  <c r="M19" i="1"/>
  <c r="L20" i="1"/>
  <c r="M21" i="1"/>
  <c r="L22" i="1"/>
  <c r="M23" i="1"/>
  <c r="M24" i="1"/>
  <c r="M25" i="1"/>
  <c r="L26" i="1"/>
  <c r="L177" i="1"/>
  <c r="M176" i="1"/>
  <c r="M175" i="1"/>
  <c r="M174" i="1"/>
  <c r="M173" i="1"/>
  <c r="M172" i="1"/>
  <c r="M171" i="1"/>
  <c r="M170" i="1"/>
  <c r="M169" i="1"/>
  <c r="L168" i="1"/>
  <c r="L167" i="1"/>
  <c r="L166" i="1"/>
  <c r="L165" i="1"/>
  <c r="M164" i="1"/>
  <c r="M163" i="1"/>
  <c r="M162" i="1"/>
  <c r="M161" i="1"/>
  <c r="L160" i="1"/>
  <c r="M159" i="1"/>
  <c r="L158" i="1"/>
  <c r="L157" i="1"/>
  <c r="M156" i="1"/>
  <c r="M155" i="1"/>
  <c r="L154" i="1"/>
  <c r="M153" i="1"/>
  <c r="M152" i="1"/>
  <c r="M151" i="1"/>
  <c r="L150" i="1"/>
  <c r="M149" i="1"/>
  <c r="M148" i="1"/>
  <c r="M147" i="1"/>
  <c r="M146" i="1"/>
  <c r="M145" i="1"/>
  <c r="L144" i="1"/>
  <c r="L143" i="1"/>
  <c r="M142" i="1"/>
  <c r="L141" i="1"/>
  <c r="M140" i="1"/>
  <c r="L139" i="1"/>
  <c r="L138" i="1"/>
  <c r="M137" i="1"/>
  <c r="L136" i="1"/>
  <c r="M135" i="1"/>
  <c r="M134" i="1"/>
  <c r="L133" i="1"/>
  <c r="M132" i="1"/>
  <c r="M131" i="1"/>
  <c r="L130" i="1"/>
  <c r="L129" i="1"/>
  <c r="L128" i="1"/>
  <c r="L127" i="1"/>
  <c r="L126" i="1"/>
  <c r="L125" i="1"/>
  <c r="L124" i="1"/>
  <c r="M123" i="1"/>
  <c r="L122" i="1"/>
  <c r="L235" i="1"/>
  <c r="M236" i="1"/>
  <c r="L237" i="1"/>
  <c r="L238" i="1"/>
  <c r="M239" i="1"/>
  <c r="M240" i="1"/>
  <c r="M241" i="1"/>
  <c r="L242" i="1"/>
  <c r="L243" i="1"/>
  <c r="M244" i="1"/>
  <c r="L245" i="1"/>
  <c r="M246" i="1"/>
  <c r="L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L265" i="1"/>
  <c r="M266" i="1"/>
  <c r="M267" i="1"/>
  <c r="M268" i="1"/>
  <c r="L269" i="1"/>
  <c r="L270" i="1"/>
  <c r="M271" i="1"/>
  <c r="L272" i="1"/>
  <c r="L273" i="1"/>
  <c r="M274" i="1"/>
  <c r="L275" i="1"/>
  <c r="M276" i="1"/>
  <c r="L277" i="1"/>
  <c r="M278" i="1"/>
  <c r="M279" i="1"/>
  <c r="L280" i="1"/>
  <c r="L281" i="1"/>
  <c r="L282" i="1"/>
  <c r="L283" i="1"/>
  <c r="M284" i="1"/>
  <c r="M285" i="1"/>
  <c r="L286" i="1"/>
  <c r="M287" i="1"/>
  <c r="M288" i="1"/>
  <c r="M289" i="1"/>
  <c r="M290" i="1"/>
  <c r="M291" i="1"/>
  <c r="L292" i="1"/>
  <c r="L293" i="1"/>
  <c r="M294" i="1"/>
  <c r="L295" i="1"/>
  <c r="M296" i="1"/>
  <c r="L297" i="1"/>
  <c r="M298" i="1"/>
  <c r="M299" i="1"/>
  <c r="L300" i="1"/>
  <c r="M301" i="1"/>
  <c r="M302" i="1"/>
  <c r="M303" i="1"/>
  <c r="L304" i="1"/>
  <c r="L305" i="1"/>
  <c r="L306" i="1"/>
  <c r="L307" i="1"/>
  <c r="M308" i="1"/>
  <c r="M309" i="1"/>
  <c r="M310" i="1"/>
  <c r="M311" i="1"/>
  <c r="L312" i="1"/>
  <c r="M313" i="1"/>
  <c r="L314" i="1"/>
  <c r="L315" i="1"/>
  <c r="L316" i="1"/>
  <c r="L317" i="1"/>
  <c r="M318" i="1"/>
  <c r="M319" i="1"/>
  <c r="M320" i="1"/>
  <c r="M321" i="1"/>
  <c r="M322" i="1"/>
  <c r="M323" i="1"/>
  <c r="M324" i="1"/>
  <c r="M325" i="1"/>
  <c r="L326" i="1"/>
  <c r="M327" i="1"/>
  <c r="M328" i="1"/>
  <c r="M329" i="1"/>
  <c r="L330" i="1"/>
  <c r="M331" i="1"/>
  <c r="L332" i="1"/>
  <c r="M333" i="1"/>
  <c r="L334" i="1"/>
  <c r="M335" i="1"/>
  <c r="L336" i="1"/>
  <c r="M337" i="1"/>
  <c r="L338" i="1"/>
  <c r="L339" i="1"/>
  <c r="M340" i="1"/>
  <c r="L341" i="1"/>
  <c r="L342" i="1"/>
  <c r="M343" i="1"/>
  <c r="M344" i="1"/>
  <c r="M345" i="1"/>
  <c r="L28" i="1"/>
  <c r="M29" i="1"/>
  <c r="M30" i="1"/>
  <c r="M31" i="1"/>
  <c r="M32" i="1"/>
  <c r="L33" i="1"/>
  <c r="L34" i="1"/>
  <c r="L35" i="1"/>
  <c r="L36" i="1"/>
  <c r="M37" i="1"/>
  <c r="M38" i="1"/>
  <c r="M39" i="1"/>
  <c r="L40" i="1"/>
  <c r="M41" i="1"/>
  <c r="M42" i="1"/>
  <c r="L43" i="1"/>
  <c r="M44" i="1"/>
  <c r="M45" i="1"/>
  <c r="M46" i="1"/>
  <c r="L47" i="1"/>
  <c r="L48" i="1"/>
  <c r="L49" i="1"/>
  <c r="L50" i="1"/>
  <c r="M51" i="1"/>
  <c r="L52" i="1"/>
  <c r="L53" i="1"/>
  <c r="L54" i="1"/>
  <c r="M55" i="1"/>
  <c r="M56" i="1"/>
  <c r="M57" i="1"/>
  <c r="M58" i="1"/>
  <c r="L59" i="1"/>
  <c r="M60" i="1"/>
  <c r="M61" i="1"/>
  <c r="M27" i="1"/>
  <c r="M179" i="1"/>
  <c r="M180" i="1"/>
  <c r="M181" i="1"/>
  <c r="M183" i="1"/>
  <c r="M182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178" i="1"/>
  <c r="M63" i="1"/>
  <c r="M64" i="1"/>
  <c r="L65" i="1"/>
  <c r="L66" i="1"/>
  <c r="L67" i="1"/>
  <c r="M68" i="1"/>
  <c r="L69" i="1"/>
  <c r="L70" i="1"/>
  <c r="M71" i="1"/>
  <c r="M72" i="1"/>
  <c r="L73" i="1"/>
  <c r="L74" i="1"/>
  <c r="L75" i="1"/>
  <c r="M76" i="1"/>
  <c r="L77" i="1"/>
  <c r="L78" i="1"/>
  <c r="M79" i="1"/>
  <c r="M80" i="1"/>
  <c r="L81" i="1"/>
  <c r="L82" i="1"/>
  <c r="M83" i="1"/>
  <c r="M84" i="1"/>
  <c r="M85" i="1"/>
  <c r="L86" i="1"/>
  <c r="L87" i="1"/>
  <c r="M88" i="1"/>
  <c r="L89" i="1"/>
  <c r="L90" i="1"/>
  <c r="M91" i="1"/>
  <c r="M92" i="1"/>
  <c r="M93" i="1"/>
  <c r="M94" i="1"/>
  <c r="M95" i="1"/>
  <c r="M96" i="1"/>
  <c r="L97" i="1"/>
  <c r="L98" i="1"/>
  <c r="L99" i="1"/>
  <c r="M100" i="1"/>
  <c r="M101" i="1"/>
  <c r="M102" i="1"/>
  <c r="M103" i="1"/>
  <c r="L104" i="1"/>
  <c r="L105" i="1"/>
  <c r="L106" i="1"/>
  <c r="L107" i="1"/>
  <c r="M108" i="1"/>
  <c r="L109" i="1"/>
  <c r="M110" i="1"/>
  <c r="M111" i="1"/>
  <c r="L112" i="1"/>
  <c r="L113" i="1"/>
  <c r="L114" i="1"/>
  <c r="M115" i="1"/>
  <c r="M116" i="1"/>
  <c r="L117" i="1"/>
  <c r="M118" i="1"/>
  <c r="L62" i="1"/>
  <c r="L301" i="1" l="1"/>
  <c r="L224" i="1"/>
  <c r="M177" i="1"/>
  <c r="M11" i="1"/>
  <c r="L262" i="1"/>
  <c r="M4" i="1"/>
  <c r="L19" i="1"/>
  <c r="L7" i="1"/>
  <c r="L18" i="1"/>
  <c r="L123" i="1"/>
  <c r="L12" i="1"/>
  <c r="L289" i="1"/>
  <c r="M281" i="1"/>
  <c r="L131" i="1"/>
  <c r="M139" i="1"/>
  <c r="L169" i="1"/>
  <c r="L145" i="1"/>
  <c r="L288" i="1"/>
  <c r="M124" i="1"/>
  <c r="L164" i="1"/>
  <c r="L291" i="1"/>
  <c r="L321" i="1"/>
  <c r="M5" i="1"/>
  <c r="L14" i="1"/>
  <c r="L25" i="1"/>
  <c r="L303" i="1"/>
  <c r="M280" i="1"/>
  <c r="L148" i="1"/>
  <c r="L309" i="1"/>
  <c r="M272" i="1"/>
  <c r="L161" i="1"/>
  <c r="L156" i="1"/>
  <c r="M3" i="1"/>
  <c r="M317" i="1"/>
  <c r="L137" i="1"/>
  <c r="L153" i="1"/>
  <c r="L172" i="1"/>
  <c r="L240" i="1"/>
  <c r="L10" i="1"/>
  <c r="L248" i="1"/>
  <c r="M295" i="1"/>
  <c r="L244" i="1"/>
  <c r="L239" i="1"/>
  <c r="L252" i="1"/>
  <c r="M238" i="1"/>
  <c r="L30" i="1"/>
  <c r="L302" i="1"/>
  <c r="L271" i="1"/>
  <c r="M165" i="1"/>
  <c r="L171" i="1"/>
  <c r="M154" i="1"/>
  <c r="L121" i="1"/>
  <c r="M332" i="1"/>
  <c r="L155" i="1"/>
  <c r="M130" i="1"/>
  <c r="L162" i="1"/>
  <c r="L146" i="1"/>
  <c r="M138" i="1"/>
  <c r="L323" i="1"/>
  <c r="M307" i="1"/>
  <c r="M120" i="1"/>
  <c r="M286" i="1"/>
  <c r="L51" i="1"/>
  <c r="L119" i="1"/>
  <c r="L279" i="1"/>
  <c r="L236" i="1"/>
  <c r="L299" i="1"/>
  <c r="L324" i="1"/>
  <c r="L17" i="1"/>
  <c r="M168" i="1"/>
  <c r="M316" i="1"/>
  <c r="M141" i="1"/>
  <c r="L340" i="1"/>
  <c r="L176" i="1"/>
  <c r="L260" i="1"/>
  <c r="L329" i="1"/>
  <c r="L21" i="1"/>
  <c r="L255" i="1"/>
  <c r="L149" i="1"/>
  <c r="M9" i="1"/>
  <c r="M247" i="1"/>
  <c r="L294" i="1"/>
  <c r="L268" i="1"/>
  <c r="L287" i="1"/>
  <c r="L60" i="1"/>
  <c r="L2" i="1"/>
  <c r="L173" i="1"/>
  <c r="L276" i="1"/>
  <c r="L345" i="1"/>
  <c r="L263" i="1"/>
  <c r="L308" i="1"/>
  <c r="M157" i="1"/>
  <c r="L337" i="1"/>
  <c r="L284" i="1"/>
  <c r="M43" i="1"/>
  <c r="L322" i="1"/>
  <c r="L253" i="1"/>
  <c r="M300" i="1"/>
  <c r="M338" i="1"/>
  <c r="M127" i="1"/>
  <c r="L246" i="1"/>
  <c r="M315" i="1"/>
  <c r="L134" i="1"/>
  <c r="L254" i="1"/>
  <c r="M339" i="1"/>
  <c r="M293" i="1"/>
  <c r="M270" i="1"/>
  <c r="M126" i="1"/>
  <c r="L331" i="1"/>
  <c r="L278" i="1"/>
  <c r="L37" i="1"/>
  <c r="L142" i="1"/>
  <c r="M36" i="1"/>
  <c r="M314" i="1"/>
  <c r="M269" i="1"/>
  <c r="L135" i="1"/>
  <c r="M245" i="1"/>
  <c r="L261" i="1"/>
  <c r="L285" i="1"/>
  <c r="M28" i="1"/>
  <c r="M330" i="1"/>
  <c r="M306" i="1"/>
  <c r="M292" i="1"/>
  <c r="M277" i="1"/>
  <c r="M237" i="1"/>
  <c r="M275" i="1"/>
  <c r="M342" i="1"/>
  <c r="L318" i="1"/>
  <c r="M341" i="1"/>
  <c r="M273" i="1"/>
  <c r="L256" i="1"/>
  <c r="M326" i="1"/>
  <c r="L6" i="1"/>
  <c r="L249" i="1"/>
  <c r="L264" i="1"/>
  <c r="L325" i="1"/>
  <c r="L147" i="1"/>
  <c r="L333" i="1"/>
  <c r="M334" i="1"/>
  <c r="M265" i="1"/>
  <c r="L132" i="1"/>
  <c r="M22" i="1"/>
  <c r="M122" i="1"/>
  <c r="L344" i="1"/>
  <c r="M160" i="1"/>
  <c r="L175" i="1"/>
  <c r="L159" i="1"/>
  <c r="M15" i="1"/>
  <c r="M336" i="1"/>
  <c r="L151" i="1"/>
  <c r="L298" i="1"/>
  <c r="L152" i="1"/>
  <c r="L313" i="1"/>
  <c r="L241" i="1"/>
  <c r="M283" i="1"/>
  <c r="L251" i="1"/>
  <c r="L320" i="1"/>
  <c r="L259" i="1"/>
  <c r="L267" i="1"/>
  <c r="L328" i="1"/>
  <c r="L296" i="1"/>
  <c r="M243" i="1"/>
  <c r="M312" i="1"/>
  <c r="M304" i="1"/>
  <c r="L250" i="1"/>
  <c r="L310" i="1"/>
  <c r="L311" i="1"/>
  <c r="L257" i="1"/>
  <c r="M235" i="1"/>
  <c r="M20" i="1"/>
  <c r="L8" i="1"/>
  <c r="M26" i="1"/>
  <c r="L24" i="1"/>
  <c r="L13" i="1"/>
  <c r="L16" i="1"/>
  <c r="L23" i="1"/>
  <c r="M150" i="1"/>
  <c r="L170" i="1"/>
  <c r="L174" i="1"/>
  <c r="M129" i="1"/>
  <c r="M144" i="1"/>
  <c r="M167" i="1"/>
  <c r="M128" i="1"/>
  <c r="M136" i="1"/>
  <c r="M143" i="1"/>
  <c r="M158" i="1"/>
  <c r="M166" i="1"/>
  <c r="L163" i="1"/>
  <c r="L140" i="1"/>
  <c r="M125" i="1"/>
  <c r="M133" i="1"/>
  <c r="L258" i="1"/>
  <c r="L327" i="1"/>
  <c r="L319" i="1"/>
  <c r="L266" i="1"/>
  <c r="L274" i="1"/>
  <c r="L335" i="1"/>
  <c r="L343" i="1"/>
  <c r="L290" i="1"/>
  <c r="M305" i="1"/>
  <c r="M297" i="1"/>
  <c r="M282" i="1"/>
  <c r="M242" i="1"/>
  <c r="L111" i="1"/>
  <c r="L64" i="1"/>
  <c r="L72" i="1"/>
  <c r="M48" i="1"/>
  <c r="L88" i="1"/>
  <c r="L41" i="1"/>
  <c r="L96" i="1"/>
  <c r="L103" i="1"/>
  <c r="L29" i="1"/>
  <c r="L31" i="1"/>
  <c r="M54" i="1"/>
  <c r="L57" i="1"/>
  <c r="M34" i="1"/>
  <c r="L110" i="1"/>
  <c r="M105" i="1"/>
  <c r="M104" i="1"/>
  <c r="M49" i="1"/>
  <c r="L27" i="1"/>
  <c r="L76" i="1"/>
  <c r="M90" i="1"/>
  <c r="L42" i="1"/>
  <c r="L84" i="1"/>
  <c r="M89" i="1"/>
  <c r="L92" i="1"/>
  <c r="M74" i="1"/>
  <c r="L100" i="1"/>
  <c r="L55" i="1"/>
  <c r="M73" i="1"/>
  <c r="L115" i="1"/>
  <c r="M35" i="1"/>
  <c r="M69" i="1"/>
  <c r="M114" i="1"/>
  <c r="M99" i="1"/>
  <c r="M67" i="1"/>
  <c r="M113" i="1"/>
  <c r="M98" i="1"/>
  <c r="M82" i="1"/>
  <c r="M66" i="1"/>
  <c r="M112" i="1"/>
  <c r="M97" i="1"/>
  <c r="M81" i="1"/>
  <c r="M65" i="1"/>
  <c r="M77" i="1"/>
  <c r="M106" i="1"/>
  <c r="M75" i="1"/>
  <c r="L58" i="1"/>
  <c r="L39" i="1"/>
  <c r="L61" i="1"/>
  <c r="L45" i="1"/>
  <c r="M47" i="1"/>
  <c r="L44" i="1"/>
  <c r="M53" i="1"/>
  <c r="M40" i="1"/>
  <c r="M59" i="1"/>
  <c r="M52" i="1"/>
  <c r="L38" i="1"/>
  <c r="L56" i="1"/>
  <c r="M33" i="1"/>
  <c r="L32" i="1"/>
  <c r="L46" i="1"/>
  <c r="M50" i="1"/>
  <c r="L102" i="1"/>
  <c r="L95" i="1"/>
  <c r="L80" i="1"/>
  <c r="L68" i="1"/>
  <c r="M107" i="1"/>
  <c r="L79" i="1"/>
  <c r="L63" i="1"/>
  <c r="L118" i="1"/>
  <c r="L71" i="1"/>
  <c r="M87" i="1"/>
  <c r="M62" i="1"/>
  <c r="M117" i="1"/>
  <c r="M109" i="1"/>
  <c r="M86" i="1"/>
  <c r="M78" i="1"/>
  <c r="M70" i="1"/>
  <c r="L91" i="1"/>
  <c r="L85" i="1"/>
  <c r="L101" i="1"/>
  <c r="L108" i="1"/>
  <c r="L94" i="1"/>
  <c r="L93" i="1"/>
  <c r="L116" i="1"/>
  <c r="L83" i="1"/>
</calcChain>
</file>

<file path=xl/sharedStrings.xml><?xml version="1.0" encoding="utf-8"?>
<sst xmlns="http://schemas.openxmlformats.org/spreadsheetml/2006/main" count="1910" uniqueCount="718">
  <si>
    <t>الاسم الكامل</t>
  </si>
  <si>
    <t>نوع الدراسة</t>
  </si>
  <si>
    <t xml:space="preserve">المادة الدراسية </t>
  </si>
  <si>
    <t>الرقم السري</t>
  </si>
  <si>
    <t>ت</t>
  </si>
  <si>
    <t xml:space="preserve">النتيجة </t>
  </si>
  <si>
    <t>من</t>
  </si>
  <si>
    <t>عدد الناجحين</t>
  </si>
  <si>
    <t xml:space="preserve">الشعبة </t>
  </si>
  <si>
    <t>العدد الكلي للشعبة</t>
  </si>
  <si>
    <r>
      <rPr>
        <sz val="18"/>
        <color rgb="FF000000"/>
        <rFont val="Sultan_medium/ghayaty2020"/>
      </rPr>
      <t>الدرجة النهائية</t>
    </r>
    <r>
      <rPr>
        <b/>
        <sz val="18"/>
        <color rgb="FF000000"/>
        <rFont val="Times New Roman"/>
        <family val="1"/>
      </rPr>
      <t xml:space="preserve"> (100M)</t>
    </r>
  </si>
  <si>
    <t>زهراء قاسم زوير جعيول</t>
  </si>
  <si>
    <t>زهراء ناجي جمعه ياسين</t>
  </si>
  <si>
    <t>زهراء يونس جميل محمد</t>
  </si>
  <si>
    <t>زهراء يونس حمزة طاهر</t>
  </si>
  <si>
    <t>زين العابدين نوري رحيم غشيم</t>
  </si>
  <si>
    <t>زينب جاسم حسين عكاب</t>
  </si>
  <si>
    <t>زينب جبار عبدالرضا حسين</t>
  </si>
  <si>
    <t>زينب جبار كاطع حسين</t>
  </si>
  <si>
    <t>زينب دايخ زغير شفيج</t>
  </si>
  <si>
    <t>زينب شمران حمادي مانع</t>
  </si>
  <si>
    <t>زينب صباح ياسر نعيس</t>
  </si>
  <si>
    <t>زينب عوان كرم عباس</t>
  </si>
  <si>
    <t>زينب عويد حسين خليف</t>
  </si>
  <si>
    <t>زينب كاطع حيار جابر</t>
  </si>
  <si>
    <t>زينب محمد خيون صديج</t>
  </si>
  <si>
    <t>زينب محمد سلطان عويد</t>
  </si>
  <si>
    <t>زينه درويش حسن علي</t>
  </si>
  <si>
    <t>زينه ياس خضر اعور</t>
  </si>
  <si>
    <t>ساجد حبيب عبدالحسين عليوي</t>
  </si>
  <si>
    <t>ساره جميل رعيوي لفته</t>
  </si>
  <si>
    <t>ساره حامد عبد حسن</t>
  </si>
  <si>
    <t>ساره حمزه شلش وجر</t>
  </si>
  <si>
    <t>ساره عاصي عكار سمير</t>
  </si>
  <si>
    <t>ساره علي حسن رجاب</t>
  </si>
  <si>
    <t>ساره محمد مزعل شاني</t>
  </si>
  <si>
    <t>سجاد حاكم رحم عبيد</t>
  </si>
  <si>
    <t>سجاد صالح هويدي عامر</t>
  </si>
  <si>
    <t>سجى هادي مطير جاسم</t>
  </si>
  <si>
    <t>سعيد علي مطلك عطار</t>
  </si>
  <si>
    <t>سوسن شنيشل خليف حمود</t>
  </si>
  <si>
    <t>سيف صباح ترف جاسم</t>
  </si>
  <si>
    <t>شكران علي مطشر عريبي</t>
  </si>
  <si>
    <t>شهلاء سعيد راهي تفاح</t>
  </si>
  <si>
    <t>صادق هادي رحم عبيد</t>
  </si>
  <si>
    <t>صفا خليل عطيه تايه</t>
  </si>
  <si>
    <t>صلاح لطيف جبار شيحان</t>
  </si>
  <si>
    <t>ضرغام احمد عبد مدلول</t>
  </si>
  <si>
    <t>ضمياء قاسم مثنى عليخ</t>
  </si>
  <si>
    <t>طاهر مانع عكموش سفاح</t>
  </si>
  <si>
    <t>طفوف نبيل مغيدر فرج</t>
  </si>
  <si>
    <t>طيبه عبد الزهره كريم هدهود</t>
  </si>
  <si>
    <t>عباس حسين سهر طوفان</t>
  </si>
  <si>
    <t>عباس سامي ماهود عبار</t>
  </si>
  <si>
    <t>عباس عامر غافل ابيه</t>
  </si>
  <si>
    <t>عباس علاوي علي خماط</t>
  </si>
  <si>
    <t>عباس عناد مخيلف ناهي</t>
  </si>
  <si>
    <t>عباس فاضل جواد محيسن</t>
  </si>
  <si>
    <t>عباس موسى منصور عبد علي</t>
  </si>
  <si>
    <t>عبد الامير قاسم عوده عبود</t>
  </si>
  <si>
    <t>عبدالرسول عدنان فهران بشاره</t>
  </si>
  <si>
    <t>عذراء جمال تركي نعمه</t>
  </si>
  <si>
    <t>عذراء عبد الله مسير جاسم</t>
  </si>
  <si>
    <t>عصام علاوي جميل كصاب</t>
  </si>
  <si>
    <t>علي اكبر حاتم انعيم خليف</t>
  </si>
  <si>
    <t>علي جاسم جبار خشيت</t>
  </si>
  <si>
    <t>علي جبار عزيز حميدي</t>
  </si>
  <si>
    <t>G3</t>
  </si>
  <si>
    <t>ابرار رحيم هاشم لفته</t>
  </si>
  <si>
    <t>ابراهيم كاطع عسكر خزام</t>
  </si>
  <si>
    <t>اثمار حميد نعيمه عثمان</t>
  </si>
  <si>
    <t>اجيان جاسم محمد علي</t>
  </si>
  <si>
    <t>احسان فالح عبيد نجدي</t>
  </si>
  <si>
    <t>احمد اكتاب كاظم هبول</t>
  </si>
  <si>
    <t>احمد جبار عبد الحسين خليفه</t>
  </si>
  <si>
    <t>احمد جميل عبد خنجر</t>
  </si>
  <si>
    <t>احمد كريم عاجل ياسين</t>
  </si>
  <si>
    <t>احمد مالك عبد الساده محيسن</t>
  </si>
  <si>
    <t>استبرق رضا مويش سلمان</t>
  </si>
  <si>
    <t>استبرق علي شويلي صخيل</t>
  </si>
  <si>
    <t>اسماء طارش مزيد دريعي</t>
  </si>
  <si>
    <t>الاء رشيد حميد جبر</t>
  </si>
  <si>
    <t>ام البنين محسن فرهود جبر</t>
  </si>
  <si>
    <t>امجد ناصر فليح ناصر</t>
  </si>
  <si>
    <t>امير حازم رسن علي</t>
  </si>
  <si>
    <t>امين احمد بلاسم سيد</t>
  </si>
  <si>
    <t>امين نجم عبد الله منصور</t>
  </si>
  <si>
    <t>انتصار شمخي جبر عكيلي</t>
  </si>
  <si>
    <t>ايات سعيد قنديل عيفان</t>
  </si>
  <si>
    <t>ايات محمد حسين عذيب</t>
  </si>
  <si>
    <t>ايمان شمخي جبر عكيلي</t>
  </si>
  <si>
    <t>ايمن فيصل نعيم هاوي</t>
  </si>
  <si>
    <t>ايمن وائل وداد عناد</t>
  </si>
  <si>
    <t>ايناس علاء ناصر عبدالحسين</t>
  </si>
  <si>
    <t>ايه حسين سرحان عياز</t>
  </si>
  <si>
    <t>ايوب عبد الله فليح حسن</t>
  </si>
  <si>
    <t>باقر خضير سعيد محسن</t>
  </si>
  <si>
    <t>بتول ابراهيم كاظم زبيري</t>
  </si>
  <si>
    <t>براء صالح مزعل وناس</t>
  </si>
  <si>
    <t>بنت الهدى مظفر فيزي غلام</t>
  </si>
  <si>
    <t>بنين احمد جبر عليوي</t>
  </si>
  <si>
    <t>بنين احمد فليح حسن</t>
  </si>
  <si>
    <t>بنين جاسم شامي عجه</t>
  </si>
  <si>
    <t>بنين حيدر سلطان سلمان</t>
  </si>
  <si>
    <t>بنين شاكر عذوب حليو</t>
  </si>
  <si>
    <t>بنين علي جاسم عبدالساده</t>
  </si>
  <si>
    <t>بنين علي وزير خضير</t>
  </si>
  <si>
    <t>بنين عيسى نجم زاير</t>
  </si>
  <si>
    <t>بنين كريم عجيل راشد</t>
  </si>
  <si>
    <t>بنين مجيدح فرج جندر</t>
  </si>
  <si>
    <t>بنين مرتجى راضي علوان</t>
  </si>
  <si>
    <t>تبارك ماجد علوان سلمان</t>
  </si>
  <si>
    <t>جاسم محمد طالب جاسم</t>
  </si>
  <si>
    <t>جعفر رعد كريم مطر</t>
  </si>
  <si>
    <t>جعفر سعد مطير ابيش</t>
  </si>
  <si>
    <t>جعفر عبد علي كاظم عبدالرضا</t>
  </si>
  <si>
    <t>جوادين عباس رحمان ابنيان</t>
  </si>
  <si>
    <t>حامد محيسن اميد عباس</t>
  </si>
  <si>
    <t>حسن حربي عذيب ثجيل</t>
  </si>
  <si>
    <t>G1</t>
  </si>
  <si>
    <t>عباس وليد حميد عبد علي</t>
  </si>
  <si>
    <t xml:space="preserve">عبد الله رشيد شعيوط سوسه </t>
  </si>
  <si>
    <t>عذراء مهدي حسن فليفل</t>
  </si>
  <si>
    <t>علي خليل عبد الله جبر</t>
  </si>
  <si>
    <t>علي عباس خنجر سلمان</t>
  </si>
  <si>
    <t>علي قاسم رداد عبيد</t>
  </si>
  <si>
    <t>علي هادي كمر عبد الله</t>
  </si>
  <si>
    <t>عيسى هيثم كمر شهاب</t>
  </si>
  <si>
    <t>عيسى وائل مهدي حنتوش</t>
  </si>
  <si>
    <t xml:space="preserve">غدير رحيم فنجان متاني </t>
  </si>
  <si>
    <t>غفران فاضل شنشول ودع</t>
  </si>
  <si>
    <t>فاطمة احمد كاطع علو</t>
  </si>
  <si>
    <t>فاطمه الزهراء فائز جاسم عبد</t>
  </si>
  <si>
    <t>فاطمه محمد هلال عبدالخضر</t>
  </si>
  <si>
    <t>فاطمه هلال عوده صالح</t>
  </si>
  <si>
    <t>كاظم منتصر فرحان جعاز</t>
  </si>
  <si>
    <t>محمد المنتظر علي عباس شريف</t>
  </si>
  <si>
    <t>محمد عماد مجيد حسن</t>
  </si>
  <si>
    <t>مريم حيدر صالح مهدي -</t>
  </si>
  <si>
    <t>مريم خلف ثجيل عبد علي</t>
  </si>
  <si>
    <t>مريم مازن يوده عطيه</t>
  </si>
  <si>
    <t>مصطفى حسن جبار حسين</t>
  </si>
  <si>
    <t>مصطفى شاكر بشار كعيد</t>
  </si>
  <si>
    <t>مصطفى عبد الله راضي سلطان</t>
  </si>
  <si>
    <t>مصطفى كامل عباس عبد</t>
  </si>
  <si>
    <t>مقتدى حيدر عبد حمد</t>
  </si>
  <si>
    <t>مقتدى حيدر فاضل عوده</t>
  </si>
  <si>
    <t>منال نوري منصور هلال</t>
  </si>
  <si>
    <t>منتظر حسن علي فرحان</t>
  </si>
  <si>
    <t>منتظر داود سلمان احمد</t>
  </si>
  <si>
    <t>مهيمن نظير ناصر سعد</t>
  </si>
  <si>
    <t>ندى عودة ياسين مطرود</t>
  </si>
  <si>
    <t xml:space="preserve">هاله حيدر صالح عذيب </t>
  </si>
  <si>
    <t>يوسف باسم عبد سدخان</t>
  </si>
  <si>
    <t>B</t>
  </si>
  <si>
    <t>حسن حنظل جلود اعطيه</t>
  </si>
  <si>
    <t>حسن طالب زغير ناصر</t>
  </si>
  <si>
    <t>حسن علي جاسم خضر</t>
  </si>
  <si>
    <t>حسن علي جبار حمزه</t>
  </si>
  <si>
    <t xml:space="preserve">حسن علي عودة ياسر </t>
  </si>
  <si>
    <t>حسين حبيب محسن ناطور</t>
  </si>
  <si>
    <t>حسين حيدر عجيل ثويني</t>
  </si>
  <si>
    <t>حسين حيدر غازي محسن</t>
  </si>
  <si>
    <t>حسين رزاق كاطع لهمود</t>
  </si>
  <si>
    <t>حسين علاء ابراهيم ابيد</t>
  </si>
  <si>
    <t>حسين علي بشير سالم</t>
  </si>
  <si>
    <t>حسين علي خضير محمود</t>
  </si>
  <si>
    <t>حسين فالح ذياب مسير</t>
  </si>
  <si>
    <t>حسين فضاء سلمان بطوش</t>
  </si>
  <si>
    <t>حسين محمد عبدالله شناوه</t>
  </si>
  <si>
    <t>حسين مناحي غالي ماضي</t>
  </si>
  <si>
    <t>حكيم حسن حواله رحيم</t>
  </si>
  <si>
    <t>حنان جابر حمد عاجل</t>
  </si>
  <si>
    <t>حوراء جميل موحان منعم</t>
  </si>
  <si>
    <t>حوراء حاتم شريف والي</t>
  </si>
  <si>
    <t>حوراء خالد عليوي شتوي</t>
  </si>
  <si>
    <t>حوراء سالم عبدالحسين حسوني</t>
  </si>
  <si>
    <t>حوراء هشام عز الدين محي</t>
  </si>
  <si>
    <t>حيدر حسن عساف علي</t>
  </si>
  <si>
    <t>حيدر عبدالحسن كاظم عطيه</t>
  </si>
  <si>
    <t>حيدر عدنان بريسم جداح</t>
  </si>
  <si>
    <t>حيدر نعيم صالح مهدي</t>
  </si>
  <si>
    <t>خلود حكيم نعمه عواد</t>
  </si>
  <si>
    <t>دنيا ستار عبود جبر</t>
  </si>
  <si>
    <t>ذاري موسى حامد باني</t>
  </si>
  <si>
    <t>راهي نعيم راهي عفلوك</t>
  </si>
  <si>
    <t>رباب حميد عباس بدحي</t>
  </si>
  <si>
    <t>رسول جفات كريم خماط</t>
  </si>
  <si>
    <t>رسول كسار كاظم عود</t>
  </si>
  <si>
    <t>رسول هلال شطب محسن</t>
  </si>
  <si>
    <t>رغد خالد جاسم محمد</t>
  </si>
  <si>
    <t>رقيه كريم جواد كاظم</t>
  </si>
  <si>
    <t>رياض فالح نعمة عبدعباس</t>
  </si>
  <si>
    <t>زمن داخل حمد ضميد</t>
  </si>
  <si>
    <t>زهراء احمد دحام خماط</t>
  </si>
  <si>
    <t>زهراء بشير عودة قريش</t>
  </si>
  <si>
    <t>زهراء جبار عبدالمولى عباس</t>
  </si>
  <si>
    <t>زهراء حامد رجي شبل</t>
  </si>
  <si>
    <t>زهراء حسين علي حسين</t>
  </si>
  <si>
    <t>زهراء حميد صبار زوين</t>
  </si>
  <si>
    <t>زهراء داخل حمد ضميد</t>
  </si>
  <si>
    <t>زهراء سالم كاظم حامي</t>
  </si>
  <si>
    <t>زهراء عامر موسى سلمان</t>
  </si>
  <si>
    <t>زهراء فاخر عطيه عريان</t>
  </si>
  <si>
    <t>زهراء فلاح بادي زغير</t>
  </si>
  <si>
    <t>G2</t>
  </si>
  <si>
    <t>احمد زيدان خلف زيدان</t>
  </si>
  <si>
    <t>احمد عبد الحسين كاظم عطيه</t>
  </si>
  <si>
    <t>احمد غريب مجذاب ثجيل</t>
  </si>
  <si>
    <t>اسراء سجاد شاكر عطيه</t>
  </si>
  <si>
    <t>ايهاب عدي مطير عوفي</t>
  </si>
  <si>
    <t>بتول حسن خضر محمد</t>
  </si>
  <si>
    <t>براء عمار سالم خميس</t>
  </si>
  <si>
    <t xml:space="preserve">ثريا هلال جواد كاظم </t>
  </si>
  <si>
    <t xml:space="preserve">جعفر صادق عزيز رمضان </t>
  </si>
  <si>
    <t>حسام الدين حاكم هاشم جبر</t>
  </si>
  <si>
    <t>حسن هاشم علي جعفر</t>
  </si>
  <si>
    <t>حسين جاسم محمد مندلي</t>
  </si>
  <si>
    <t>حسين ضياء جبار صياح</t>
  </si>
  <si>
    <t>حسين فاضل خضير دهش</t>
  </si>
  <si>
    <t>حسين فاضل صادق شاعل</t>
  </si>
  <si>
    <t>حمزة حبيب موسى بعين</t>
  </si>
  <si>
    <t>حمزه محمد عنيد رضا</t>
  </si>
  <si>
    <t>دعاء ستار عفلوك بروش</t>
  </si>
  <si>
    <t>ذو الفقار ظاهر جباري محمد</t>
  </si>
  <si>
    <t>رضا عثمان جبير رشيد</t>
  </si>
  <si>
    <t>زهراء رزاق راضي فياض</t>
  </si>
  <si>
    <t>زهراء كريم درينة راضي</t>
  </si>
  <si>
    <t>زين العابدين عامر حسين عبد</t>
  </si>
  <si>
    <t>زينب كريم هادي منادي</t>
  </si>
  <si>
    <t>صفيه عباس تركي خليف</t>
  </si>
  <si>
    <t>الاء خلف حميد سلهو</t>
  </si>
  <si>
    <t>ايات فالح خضير ناصر</t>
  </si>
  <si>
    <t>بتول جواد كاظم ضاري</t>
  </si>
  <si>
    <t>بتول طعمه صفين كاطع</t>
  </si>
  <si>
    <t>بنين سمير ياسين ناهي</t>
  </si>
  <si>
    <t>تبارك رياض ناجي عبادي</t>
  </si>
  <si>
    <t>حسين علي غليم فزيع</t>
  </si>
  <si>
    <t>رسول ستار عبد عطار</t>
  </si>
  <si>
    <t>رقيه حيدر داخل محمد</t>
  </si>
  <si>
    <t>ريتاج احمد علي مظلوم</t>
  </si>
  <si>
    <t>A</t>
  </si>
  <si>
    <t>علي جليل عبدالحسين زغير</t>
  </si>
  <si>
    <t>علي حسين شبيب رغيف</t>
  </si>
  <si>
    <t>علي حسين شنان محسن</t>
  </si>
  <si>
    <t>علي حسين عيال دليفي</t>
  </si>
  <si>
    <t>علي رحم محمد كسار</t>
  </si>
  <si>
    <t>علي صاحب عبد حبيب</t>
  </si>
  <si>
    <t>علي صادق نعيم ياسر مظلوم</t>
  </si>
  <si>
    <t>علي عدنان عباس غشيم</t>
  </si>
  <si>
    <t>علي عدنان كريم ابوجرن</t>
  </si>
  <si>
    <t>علي غافل حاشوش حنظل</t>
  </si>
  <si>
    <t>علي غالي حيل خليف</t>
  </si>
  <si>
    <t>علي محسن عبدالرضا زيدان</t>
  </si>
  <si>
    <t>علي محمد بدر نوام</t>
  </si>
  <si>
    <t>علي محمد مهنه فرحان</t>
  </si>
  <si>
    <t>علي محمود حسين علي</t>
  </si>
  <si>
    <t>علي مرتضى عبدالامير طهماز</t>
  </si>
  <si>
    <t>علي ناصر حسوني فزع</t>
  </si>
  <si>
    <t>علي ناصر حسين علوان</t>
  </si>
  <si>
    <t>علي ناصر عبد عذير</t>
  </si>
  <si>
    <t>غفران كريم بحر حسن</t>
  </si>
  <si>
    <t>فاطمة لطيف ابراهيم حسين</t>
  </si>
  <si>
    <t>فاطمه حامد ياسين كرم</t>
  </si>
  <si>
    <t>فاطمه حسين سنيد ماهود</t>
  </si>
  <si>
    <t>فاطمه راضي علي عكله</t>
  </si>
  <si>
    <t>فاطمه سمير جويد مجدي</t>
  </si>
  <si>
    <t>فاطمه صفاء كاظم سلطان</t>
  </si>
  <si>
    <t>فاطمه علي داخل نعمه</t>
  </si>
  <si>
    <t>فاطمه علي كريم عيسى</t>
  </si>
  <si>
    <t>فاطمه عماد كريم محيبس</t>
  </si>
  <si>
    <t>فاطمه لطيف مطرود والي</t>
  </si>
  <si>
    <t>فاطمه مهدي بهلول صافي</t>
  </si>
  <si>
    <t>فاطمه وناس علي ضيدان</t>
  </si>
  <si>
    <t>فرح حيدر حمزه بند</t>
  </si>
  <si>
    <t>ماء السماء جعفر عبد عبار</t>
  </si>
  <si>
    <t>ماجد كريم خضير كريم</t>
  </si>
  <si>
    <t>مالك جواد مريعان مطير</t>
  </si>
  <si>
    <t>محسن اسماعيل زاهر محمد</t>
  </si>
  <si>
    <t>محسن محمد سرحان رحم</t>
  </si>
  <si>
    <t>محمد بدر حسين بلاش</t>
  </si>
  <si>
    <t>محمد حسين نعيم جبار</t>
  </si>
  <si>
    <t>محمد حمزه عوجان مطر</t>
  </si>
  <si>
    <t>محمد رحم عبد الزهره بطي</t>
  </si>
  <si>
    <t>محمد رضا سعود كاظم جبر</t>
  </si>
  <si>
    <t>محمد رضا سلام زامل فرحان</t>
  </si>
  <si>
    <t>محمد سعد غاوي مربط</t>
  </si>
  <si>
    <t>محمد ضحوي يوده عنجور</t>
  </si>
  <si>
    <t>محمد عبد قاسم محمد</t>
  </si>
  <si>
    <t>محمد عدنان عبود علي</t>
  </si>
  <si>
    <t>محمد علي محمد مظهر فضل</t>
  </si>
  <si>
    <t>محمد فاضل جبر فرهود</t>
  </si>
  <si>
    <t>محمد قاسم جليل جخم</t>
  </si>
  <si>
    <t>محمد كريم سلمان حمد</t>
  </si>
  <si>
    <t>محمد ميثم جابر رضا</t>
  </si>
  <si>
    <t>G4</t>
  </si>
  <si>
    <t>G5</t>
  </si>
  <si>
    <t>علي حسين جابر فرحان</t>
  </si>
  <si>
    <t>حسنين عبد السلام عبود ربح</t>
  </si>
  <si>
    <t>زهراء علي حسين غتاب</t>
  </si>
  <si>
    <t>محمود حياوي كبيص دحام</t>
  </si>
  <si>
    <t>مرام حمزه غريب جلود</t>
  </si>
  <si>
    <t>مرتضى تحسين مزهر كزار</t>
  </si>
  <si>
    <t>مرتضى زيرج كريم حسون</t>
  </si>
  <si>
    <t>مرتضى عبدالواحد محمد روضان</t>
  </si>
  <si>
    <t>مرتضى فرج محمد حسين</t>
  </si>
  <si>
    <t>مرتضى كاظم صالح مهدي</t>
  </si>
  <si>
    <t>مرتضى نجم عبد كمر</t>
  </si>
  <si>
    <t>مريم قاسم عوده عبود</t>
  </si>
  <si>
    <t>مريم لطيف ياسر حسين</t>
  </si>
  <si>
    <t>مسلم محمد محسن غياض</t>
  </si>
  <si>
    <t>مسلم وئام راضي كريم</t>
  </si>
  <si>
    <t>مصطفى جبار ابراهيم طاهر</t>
  </si>
  <si>
    <t>مصطفى حميد كاظم عبد</t>
  </si>
  <si>
    <t>مصطفى عبدالمهدي حسن عبد</t>
  </si>
  <si>
    <t>مصطفى كامل شلال راشد</t>
  </si>
  <si>
    <t>مصطفى ناصر حمدان هيلان</t>
  </si>
  <si>
    <t>مقتدى عدنان ناصر عبود</t>
  </si>
  <si>
    <t>منتظر شاكر كاطع محيسن</t>
  </si>
  <si>
    <t>منتظر عامر عباس حريب</t>
  </si>
  <si>
    <t>منتظر علي رويخ رزاق</t>
  </si>
  <si>
    <t>منتظر ناصر حسين لطيف</t>
  </si>
  <si>
    <t>منتظر يوسف خشان جياد</t>
  </si>
  <si>
    <t>مهدي صالح عويد محيبس</t>
  </si>
  <si>
    <t>مهدي صلاح حسن شمخي</t>
  </si>
  <si>
    <t>مهدي محمد حميد علي</t>
  </si>
  <si>
    <t>مهند حسن دهش وثان</t>
  </si>
  <si>
    <t>ميثم راضي هلال عكروك</t>
  </si>
  <si>
    <t>ميساء محمد وصيل شخير</t>
  </si>
  <si>
    <t>ميسره خالد هاشم فزع</t>
  </si>
  <si>
    <t>ناصر علي ناصر عاصي</t>
  </si>
  <si>
    <t>نبأ عاشور حامد فريح</t>
  </si>
  <si>
    <t>نبأ فيصل راهي عليوي</t>
  </si>
  <si>
    <t>نرجس نعيم كاظم بطاط</t>
  </si>
  <si>
    <t>نور الحسن باسم دللي علي</t>
  </si>
  <si>
    <t>نور الزهراء حسين علوان هادي</t>
  </si>
  <si>
    <t>نور الزهراء سعد عبد العزيز طراد</t>
  </si>
  <si>
    <t>نور الهدى محسن جاسم محمد</t>
  </si>
  <si>
    <t>نور رياض عزيز بداي</t>
  </si>
  <si>
    <t>نور زهير مجبل مزهر</t>
  </si>
  <si>
    <t>نور شاكر جابر صحو</t>
  </si>
  <si>
    <t>نور علي عبد عزيز</t>
  </si>
  <si>
    <t>نور كريم غانم عيسى</t>
  </si>
  <si>
    <t>نور نادي عناد كريم</t>
  </si>
  <si>
    <t>نوره جمعه سعيد اسيمر</t>
  </si>
  <si>
    <t>هاجر نوري وداعه نيسان</t>
  </si>
  <si>
    <t>هادي فاضل طعمه مطيلب</t>
  </si>
  <si>
    <t>هبة الله ضياء رخيت عبيره</t>
  </si>
  <si>
    <t>هدى ثاير جار الله نيسان</t>
  </si>
  <si>
    <t>هدى فالح حسن ماهر</t>
  </si>
  <si>
    <t>هديل علي رحم مطر</t>
  </si>
  <si>
    <t>هشام سليم يونس بجاي</t>
  </si>
  <si>
    <t>وعد عماد حاجم سفاح</t>
  </si>
  <si>
    <t>وفاء حامد بلاسم طرفه</t>
  </si>
  <si>
    <t>ولي قاسم وناس سلمان</t>
  </si>
  <si>
    <t>وليد منخي جبار حاجم</t>
  </si>
  <si>
    <t>يوسف امين محمد عكيب</t>
  </si>
  <si>
    <t>يوسف سعد دويش سباهي</t>
  </si>
  <si>
    <t xml:space="preserve">الصباحية </t>
  </si>
  <si>
    <t xml:space="preserve">المسائية </t>
  </si>
  <si>
    <t>M88528</t>
  </si>
  <si>
    <t>M82426</t>
  </si>
  <si>
    <t>M62625</t>
  </si>
  <si>
    <t>M81922</t>
  </si>
  <si>
    <t>M75719</t>
  </si>
  <si>
    <t>M44098</t>
  </si>
  <si>
    <t>M75404</t>
  </si>
  <si>
    <t>M13112</t>
  </si>
  <si>
    <t>M80086</t>
  </si>
  <si>
    <t>M96056</t>
  </si>
  <si>
    <t>M93759</t>
  </si>
  <si>
    <t>M21289</t>
  </si>
  <si>
    <t>M91270</t>
  </si>
  <si>
    <t>M36413</t>
  </si>
  <si>
    <t>M77643</t>
  </si>
  <si>
    <t>M22107</t>
  </si>
  <si>
    <t>M25053</t>
  </si>
  <si>
    <t>M37509</t>
  </si>
  <si>
    <t>M38744</t>
  </si>
  <si>
    <t>M65045</t>
  </si>
  <si>
    <t>M70086</t>
  </si>
  <si>
    <t>M28319</t>
  </si>
  <si>
    <t>M81529</t>
  </si>
  <si>
    <t>M94199</t>
  </si>
  <si>
    <t>M34120</t>
  </si>
  <si>
    <t>M62884</t>
  </si>
  <si>
    <t>M25436</t>
  </si>
  <si>
    <t>M39758</t>
  </si>
  <si>
    <t>M41592</t>
  </si>
  <si>
    <t>M11248</t>
  </si>
  <si>
    <t>M56169</t>
  </si>
  <si>
    <t>M23659</t>
  </si>
  <si>
    <t>M71349</t>
  </si>
  <si>
    <t>M67692</t>
  </si>
  <si>
    <t>M76321</t>
  </si>
  <si>
    <t>M34679</t>
  </si>
  <si>
    <t>M39903</t>
  </si>
  <si>
    <t>M56119</t>
  </si>
  <si>
    <t>M54635</t>
  </si>
  <si>
    <t>M56597</t>
  </si>
  <si>
    <t>M98104</t>
  </si>
  <si>
    <t>M57761</t>
  </si>
  <si>
    <t>M51767</t>
  </si>
  <si>
    <t>M47778</t>
  </si>
  <si>
    <t>M32021</t>
  </si>
  <si>
    <t>M15461</t>
  </si>
  <si>
    <t>M46546</t>
  </si>
  <si>
    <t>M42926</t>
  </si>
  <si>
    <t>M78804</t>
  </si>
  <si>
    <t>M50745</t>
  </si>
  <si>
    <t>M29505</t>
  </si>
  <si>
    <t>M34653</t>
  </si>
  <si>
    <t>M46171</t>
  </si>
  <si>
    <t>M25135</t>
  </si>
  <si>
    <t>M52833</t>
  </si>
  <si>
    <t>M23911</t>
  </si>
  <si>
    <t>M78508</t>
  </si>
  <si>
    <t>M98965</t>
  </si>
  <si>
    <t>M23170</t>
  </si>
  <si>
    <t>M86319</t>
  </si>
  <si>
    <t>E33438</t>
  </si>
  <si>
    <t>E25027</t>
  </si>
  <si>
    <t>E15481</t>
  </si>
  <si>
    <t>E97638</t>
  </si>
  <si>
    <t>E18658</t>
  </si>
  <si>
    <t>E59421</t>
  </si>
  <si>
    <t>E42745</t>
  </si>
  <si>
    <t>E17864</t>
  </si>
  <si>
    <t>E96322</t>
  </si>
  <si>
    <t>E35079</t>
  </si>
  <si>
    <t>E49003</t>
  </si>
  <si>
    <t>E65829</t>
  </si>
  <si>
    <t>E67717</t>
  </si>
  <si>
    <t>E40918</t>
  </si>
  <si>
    <t>E38772</t>
  </si>
  <si>
    <t>E89717</t>
  </si>
  <si>
    <t>E59373</t>
  </si>
  <si>
    <t>E35451</t>
  </si>
  <si>
    <t>E76637</t>
  </si>
  <si>
    <t>E97886</t>
  </si>
  <si>
    <t>E76685</t>
  </si>
  <si>
    <t>E43397</t>
  </si>
  <si>
    <t>E41347</t>
  </si>
  <si>
    <t>E22579</t>
  </si>
  <si>
    <t>E90007</t>
  </si>
  <si>
    <t>E83885</t>
  </si>
  <si>
    <t>E30833</t>
  </si>
  <si>
    <t>E95849</t>
  </si>
  <si>
    <t>E66644</t>
  </si>
  <si>
    <t>E85990</t>
  </si>
  <si>
    <t>E60525</t>
  </si>
  <si>
    <t>E36747</t>
  </si>
  <si>
    <t>E65357</t>
  </si>
  <si>
    <t>E32638</t>
  </si>
  <si>
    <t>E26203</t>
  </si>
  <si>
    <t>E61153</t>
  </si>
  <si>
    <t>E55362</t>
  </si>
  <si>
    <t>E90969</t>
  </si>
  <si>
    <t>E20356</t>
  </si>
  <si>
    <t>E14349</t>
  </si>
  <si>
    <t>E62708</t>
  </si>
  <si>
    <t>E92494</t>
  </si>
  <si>
    <t>E82425</t>
  </si>
  <si>
    <t>E86176</t>
  </si>
  <si>
    <t>E34679</t>
  </si>
  <si>
    <t>E54673</t>
  </si>
  <si>
    <t>E61220</t>
  </si>
  <si>
    <t>E45450</t>
  </si>
  <si>
    <t>E98013</t>
  </si>
  <si>
    <t>E48635</t>
  </si>
  <si>
    <t>E19175</t>
  </si>
  <si>
    <t>E91777</t>
  </si>
  <si>
    <t>E77717</t>
  </si>
  <si>
    <t>E35979</t>
  </si>
  <si>
    <t>E62408</t>
  </si>
  <si>
    <t>E65506</t>
  </si>
  <si>
    <t>E25256</t>
  </si>
  <si>
    <t>E71387</t>
  </si>
  <si>
    <t>E53517</t>
  </si>
  <si>
    <t>E72495</t>
  </si>
  <si>
    <t>E30064</t>
  </si>
  <si>
    <t>E73706</t>
  </si>
  <si>
    <t>E42894</t>
  </si>
  <si>
    <t>E85798</t>
  </si>
  <si>
    <t>E60089</t>
  </si>
  <si>
    <t>E76044</t>
  </si>
  <si>
    <t>E12417</t>
  </si>
  <si>
    <t>E77325</t>
  </si>
  <si>
    <t>E21783</t>
  </si>
  <si>
    <t>E43685</t>
  </si>
  <si>
    <t>E50777</t>
  </si>
  <si>
    <t>E45016</t>
  </si>
  <si>
    <t>E59832</t>
  </si>
  <si>
    <t>E33688</t>
  </si>
  <si>
    <t>E61430</t>
  </si>
  <si>
    <t>E24042</t>
  </si>
  <si>
    <t>E69687</t>
  </si>
  <si>
    <t>E41157</t>
  </si>
  <si>
    <t>E24052</t>
  </si>
  <si>
    <t>E56479</t>
  </si>
  <si>
    <t>E23968</t>
  </si>
  <si>
    <t>E56525</t>
  </si>
  <si>
    <t>E53202</t>
  </si>
  <si>
    <t>E41722</t>
  </si>
  <si>
    <t>E80889</t>
  </si>
  <si>
    <t>E10893</t>
  </si>
  <si>
    <t>E61128</t>
  </si>
  <si>
    <t>E23011</t>
  </si>
  <si>
    <t>E26035</t>
  </si>
  <si>
    <t>E39878</t>
  </si>
  <si>
    <t>E66392</t>
  </si>
  <si>
    <t>E90358</t>
  </si>
  <si>
    <t>E76625</t>
  </si>
  <si>
    <t>E22552</t>
  </si>
  <si>
    <t>E41098</t>
  </si>
  <si>
    <t>E30528</t>
  </si>
  <si>
    <t>E77161</t>
  </si>
  <si>
    <t>E76857</t>
  </si>
  <si>
    <t>E96848</t>
  </si>
  <si>
    <t>E24787</t>
  </si>
  <si>
    <t>E68157</t>
  </si>
  <si>
    <t>E52327</t>
  </si>
  <si>
    <t>E39246</t>
  </si>
  <si>
    <t>E51658</t>
  </si>
  <si>
    <t>E47311</t>
  </si>
  <si>
    <t>E61032</t>
  </si>
  <si>
    <t>E92451</t>
  </si>
  <si>
    <t>E56285</t>
  </si>
  <si>
    <t>E92814</t>
  </si>
  <si>
    <t>E27548</t>
  </si>
  <si>
    <t>E87669</t>
  </si>
  <si>
    <t>E28008</t>
  </si>
  <si>
    <t>E52097</t>
  </si>
  <si>
    <t>E52286</t>
  </si>
  <si>
    <t>E48978</t>
  </si>
  <si>
    <t>E81690</t>
  </si>
  <si>
    <t>E90234</t>
  </si>
  <si>
    <t>E90841</t>
  </si>
  <si>
    <t>E57118</t>
  </si>
  <si>
    <t>E26253</t>
  </si>
  <si>
    <t>E22253</t>
  </si>
  <si>
    <t>E30159</t>
  </si>
  <si>
    <t>E93065</t>
  </si>
  <si>
    <t>E28461</t>
  </si>
  <si>
    <t>E28148</t>
  </si>
  <si>
    <t>E19880</t>
  </si>
  <si>
    <t>E77648</t>
  </si>
  <si>
    <t>E62347</t>
  </si>
  <si>
    <t>E90738</t>
  </si>
  <si>
    <t>E75037</t>
  </si>
  <si>
    <t>E36565</t>
  </si>
  <si>
    <t>E20337</t>
  </si>
  <si>
    <t>E63955</t>
  </si>
  <si>
    <t>E29433</t>
  </si>
  <si>
    <t>E83596</t>
  </si>
  <si>
    <t>E11471</t>
  </si>
  <si>
    <t>E26516</t>
  </si>
  <si>
    <t>E27824</t>
  </si>
  <si>
    <t>E20161</t>
  </si>
  <si>
    <t>E94958</t>
  </si>
  <si>
    <t>E20962</t>
  </si>
  <si>
    <t>E59228</t>
  </si>
  <si>
    <t>E62852</t>
  </si>
  <si>
    <t>E51670</t>
  </si>
  <si>
    <t>E28875</t>
  </si>
  <si>
    <t>E83591</t>
  </si>
  <si>
    <t>E13194</t>
  </si>
  <si>
    <t>E53362</t>
  </si>
  <si>
    <t>E92888</t>
  </si>
  <si>
    <t>E33611</t>
  </si>
  <si>
    <t>E93105</t>
  </si>
  <si>
    <t>E86072</t>
  </si>
  <si>
    <t>E97166</t>
  </si>
  <si>
    <t>E91266</t>
  </si>
  <si>
    <t>E91398</t>
  </si>
  <si>
    <t>E15758</t>
  </si>
  <si>
    <t>E35245</t>
  </si>
  <si>
    <t>E84432</t>
  </si>
  <si>
    <t>E38664</t>
  </si>
  <si>
    <t>E37229</t>
  </si>
  <si>
    <t>E66910</t>
  </si>
  <si>
    <t>E36341</t>
  </si>
  <si>
    <t>E85345</t>
  </si>
  <si>
    <t>E94805</t>
  </si>
  <si>
    <t>E79327</t>
  </si>
  <si>
    <t>E50975</t>
  </si>
  <si>
    <t>E87165</t>
  </si>
  <si>
    <t>E58191</t>
  </si>
  <si>
    <t>E67010</t>
  </si>
  <si>
    <t>E87141</t>
  </si>
  <si>
    <t>E11820</t>
  </si>
  <si>
    <t>E94912</t>
  </si>
  <si>
    <t>E54269</t>
  </si>
  <si>
    <t>E53298</t>
  </si>
  <si>
    <t>E24191</t>
  </si>
  <si>
    <t>E65044</t>
  </si>
  <si>
    <t>E28650</t>
  </si>
  <si>
    <t>E20232</t>
  </si>
  <si>
    <t>E30979</t>
  </si>
  <si>
    <t>E26931</t>
  </si>
  <si>
    <t>E11167</t>
  </si>
  <si>
    <t>E57271</t>
  </si>
  <si>
    <t>E43160</t>
  </si>
  <si>
    <t>E20539</t>
  </si>
  <si>
    <t>E16250</t>
  </si>
  <si>
    <t>E36054</t>
  </si>
  <si>
    <t>E23955</t>
  </si>
  <si>
    <t>E90807</t>
  </si>
  <si>
    <t>E19629</t>
  </si>
  <si>
    <t>E55337</t>
  </si>
  <si>
    <t>E66570</t>
  </si>
  <si>
    <t>E55439</t>
  </si>
  <si>
    <t>E24954</t>
  </si>
  <si>
    <t>E54034</t>
  </si>
  <si>
    <t>E48421</t>
  </si>
  <si>
    <t>E43343</t>
  </si>
  <si>
    <t>E31139</t>
  </si>
  <si>
    <t>E17486</t>
  </si>
  <si>
    <t>E74327</t>
  </si>
  <si>
    <t>E96932</t>
  </si>
  <si>
    <t>E64702</t>
  </si>
  <si>
    <t>E54747</t>
  </si>
  <si>
    <t>E38848</t>
  </si>
  <si>
    <t>E82871</t>
  </si>
  <si>
    <t>E81346</t>
  </si>
  <si>
    <t>E52071</t>
  </si>
  <si>
    <t>E26776</t>
  </si>
  <si>
    <t>E58037</t>
  </si>
  <si>
    <t>E16059</t>
  </si>
  <si>
    <t>E64881</t>
  </si>
  <si>
    <t>E83549</t>
  </si>
  <si>
    <t>E88937</t>
  </si>
  <si>
    <t>E11498</t>
  </si>
  <si>
    <t>E95597</t>
  </si>
  <si>
    <t>E58561</t>
  </si>
  <si>
    <t>E80536</t>
  </si>
  <si>
    <t>E54300</t>
  </si>
  <si>
    <t>E27169</t>
  </si>
  <si>
    <t>E92566</t>
  </si>
  <si>
    <t>E76598</t>
  </si>
  <si>
    <t>E91779</t>
  </si>
  <si>
    <t>E23076</t>
  </si>
  <si>
    <t>E90143</t>
  </si>
  <si>
    <t>E75890</t>
  </si>
  <si>
    <t>E69182</t>
  </si>
  <si>
    <t>E94883</t>
  </si>
  <si>
    <t>E76679</t>
  </si>
  <si>
    <t>E94015</t>
  </si>
  <si>
    <t>E87580</t>
  </si>
  <si>
    <t>E91197</t>
  </si>
  <si>
    <t>E46718</t>
  </si>
  <si>
    <t>E35917</t>
  </si>
  <si>
    <t>E92523</t>
  </si>
  <si>
    <t>E70134</t>
  </si>
  <si>
    <t>E81123</t>
  </si>
  <si>
    <t>E72929</t>
  </si>
  <si>
    <t>E50006</t>
  </si>
  <si>
    <t>E77927</t>
  </si>
  <si>
    <t>E35475</t>
  </si>
  <si>
    <t>E57509</t>
  </si>
  <si>
    <t>E54964</t>
  </si>
  <si>
    <t>E18299</t>
  </si>
  <si>
    <t>E15962</t>
  </si>
  <si>
    <t>E80880</t>
  </si>
  <si>
    <t>E99591</t>
  </si>
  <si>
    <t>E97282</t>
  </si>
  <si>
    <t>E58337</t>
  </si>
  <si>
    <t>E39168</t>
  </si>
  <si>
    <t>E47019</t>
  </si>
  <si>
    <t>E47258</t>
  </si>
  <si>
    <t>E48679</t>
  </si>
  <si>
    <t>E55891</t>
  </si>
  <si>
    <t>E69312</t>
  </si>
  <si>
    <t>E17615</t>
  </si>
  <si>
    <t>E39666</t>
  </si>
  <si>
    <t>E80953</t>
  </si>
  <si>
    <t>E13097</t>
  </si>
  <si>
    <t>E88731</t>
  </si>
  <si>
    <t>E90197</t>
  </si>
  <si>
    <t>E75681</t>
  </si>
  <si>
    <t>E62687</t>
  </si>
  <si>
    <t>E88345</t>
  </si>
  <si>
    <t>E28879</t>
  </si>
  <si>
    <t>E96429</t>
  </si>
  <si>
    <t>E42359</t>
  </si>
  <si>
    <t>E59790</t>
  </si>
  <si>
    <t>E62812</t>
  </si>
  <si>
    <t>E37406</t>
  </si>
  <si>
    <t>E78637</t>
  </si>
  <si>
    <t>E93967</t>
  </si>
  <si>
    <t>E39107</t>
  </si>
  <si>
    <t>E96332</t>
  </si>
  <si>
    <t>E57256</t>
  </si>
  <si>
    <t>E22533</t>
  </si>
  <si>
    <t>E40201</t>
  </si>
  <si>
    <t>E50803</t>
  </si>
  <si>
    <t>E84821</t>
  </si>
  <si>
    <t>E50873</t>
  </si>
  <si>
    <t>E31009</t>
  </si>
  <si>
    <t>E49167</t>
  </si>
  <si>
    <t>E50014</t>
  </si>
  <si>
    <t>التقدير</t>
  </si>
  <si>
    <r>
      <t xml:space="preserve">نسبة النجاح للشعبة  </t>
    </r>
    <r>
      <rPr>
        <b/>
        <sz val="18"/>
        <color rgb="FF000000"/>
        <rFont val="Times New Roman"/>
        <family val="1"/>
      </rPr>
      <t>%</t>
    </r>
  </si>
  <si>
    <t xml:space="preserve">الدرجات المضافة </t>
  </si>
  <si>
    <r>
      <t>الدرجة</t>
    </r>
    <r>
      <rPr>
        <b/>
        <sz val="18"/>
        <color rgb="FF000000"/>
        <rFont val="Times New Roman"/>
        <family val="1"/>
      </rPr>
      <t xml:space="preserve"> (100M)</t>
    </r>
  </si>
  <si>
    <t xml:space="preserve">زهره حسين فالح صيهود </t>
  </si>
  <si>
    <t xml:space="preserve">زينب صالح حسين شاهر </t>
  </si>
  <si>
    <t>زينب مالك هاشم غركان</t>
  </si>
  <si>
    <t>E47680</t>
  </si>
  <si>
    <t>E82257</t>
  </si>
  <si>
    <t>E33702</t>
  </si>
  <si>
    <t>التسلسل على الشعبة</t>
  </si>
  <si>
    <t xml:space="preserve">التسلسل على الدفعة </t>
  </si>
  <si>
    <t xml:space="preserve">العدد الكلي للناجحون في الدفعه </t>
  </si>
  <si>
    <t>زين العابدين صلاح مهدي راضي</t>
  </si>
  <si>
    <t>Bubble sheet 80M</t>
  </si>
  <si>
    <t>Written 20M</t>
  </si>
  <si>
    <t xml:space="preserve">نتيجة امتحان امتحان اساسيات الأجهزة الطبية الالكترونية  / جهاز  قياس ضغط الدم الالكتروني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</si>
</sst>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color rgb="FF000000"/>
      <name val="Times New Roman"/>
      <family val="1"/>
    </font>
    <font>
      <sz val="8"/>
      <name val="Calibri"/>
      <family val="2"/>
      <scheme val="minor"/>
    </font>
    <font>
      <sz val="16"/>
      <color theme="1"/>
      <name val="Sultan_medium/ghayaty2020"/>
    </font>
    <font>
      <sz val="18"/>
      <color rgb="FF000000"/>
      <name val="Sultan_medium/ghayaty2020"/>
    </font>
    <font>
      <b/>
      <sz val="18"/>
      <color rgb="FF000000"/>
      <name val="Times New Roman"/>
      <family val="1"/>
    </font>
    <font>
      <sz val="18"/>
      <color rgb="FF000000"/>
      <name val="Times New Roman"/>
      <family val="1"/>
    </font>
    <font>
      <sz val="18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Times New Roman"/>
      <family val="1"/>
    </font>
    <font>
      <b/>
      <sz val="20"/>
      <color theme="1"/>
      <name val="Times New Roman"/>
      <family val="1"/>
    </font>
    <font>
      <sz val="18"/>
      <color theme="1"/>
      <name val="Sultan_medium/ghayaty2020"/>
    </font>
  </fonts>
  <fills count="4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0" fontId="9" fillId="0" borderId="0"/>
  </cellStyleXfs>
  <cellXfs count="19">
    <xf numFmtId="0" fontId="0" fillId="0" borderId="0" xfId="0"/>
    <xf numFmtId="0" fontId="0" fillId="0" borderId="0" xfId="0" applyFont="1"/>
    <xf numFmtId="0" fontId="8" fillId="0" borderId="0" xfId="0" applyFont="1"/>
    <xf numFmtId="0" fontId="5" fillId="2" borderId="1" xfId="0" applyFont="1" applyFill="1" applyBorder="1" applyAlignment="1">
      <alignment horizontal="center" vertical="center" readingOrder="2"/>
    </xf>
    <xf numFmtId="0" fontId="7" fillId="2" borderId="1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 wrapText="1" readingOrder="2"/>
    </xf>
    <xf numFmtId="0" fontId="10" fillId="0" borderId="1" xfId="0" applyFont="1" applyBorder="1" applyAlignment="1">
      <alignment horizontal="center" vertical="center" wrapText="1" readingOrder="2"/>
    </xf>
    <xf numFmtId="0" fontId="11" fillId="0" borderId="1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wrapText="1" readingOrder="2"/>
    </xf>
    <xf numFmtId="0" fontId="12" fillId="0" borderId="1" xfId="0" applyFont="1" applyBorder="1" applyAlignment="1">
      <alignment horizontal="center" vertical="center" wrapText="1" readingOrder="2"/>
    </xf>
    <xf numFmtId="0" fontId="5" fillId="3" borderId="2" xfId="0" applyFont="1" applyFill="1" applyBorder="1" applyAlignment="1">
      <alignment horizontal="right" vertical="center" readingOrder="2"/>
    </xf>
    <xf numFmtId="0" fontId="5" fillId="3" borderId="3" xfId="0" applyFont="1" applyFill="1" applyBorder="1" applyAlignment="1">
      <alignment horizontal="right" vertical="center" readingOrder="2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 readingOrder="2"/>
    </xf>
    <xf numFmtId="0" fontId="1" fillId="0" borderId="1" xfId="0" applyNumberFormat="1" applyFont="1" applyBorder="1" applyAlignment="1">
      <alignment horizontal="center" vertical="center" wrapText="1" readingOrder="2"/>
    </xf>
    <xf numFmtId="0" fontId="6" fillId="2" borderId="1" xfId="0" applyFont="1" applyFill="1" applyBorder="1" applyAlignment="1">
      <alignment horizontal="center" vertical="center" readingOrder="2"/>
    </xf>
  </cellXfs>
  <cellStyles count="2">
    <cellStyle name="Normal" xfId="0" builtinId="0"/>
    <cellStyle name="Normal 11" xfId="1" xr:uid="{0CC26AE5-477E-4A43-A170-5EC31FDC3467}"/>
  </cellStyles>
  <dxfs count="0"/>
  <tableStyles count="0" defaultTableStyle="TableStyleMedium2" defaultPivotStyle="PivotStyleLight16"/>
  <colors>
    <mruColors>
      <color rgb="FFFFBDBD"/>
      <color rgb="FFFFFFE7"/>
      <color rgb="FFFFFFFF"/>
      <color rgb="FFFFFFCC"/>
      <color rgb="FFEFF6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9B472-615A-444B-A8C8-0C8D83C0DD87}">
  <sheetPr>
    <pageSetUpPr fitToPage="1"/>
  </sheetPr>
  <dimension ref="A1:U345"/>
  <sheetViews>
    <sheetView rightToLeft="1" tabSelected="1" zoomScaleNormal="100" workbookViewId="0">
      <selection activeCell="E18" sqref="E18"/>
    </sheetView>
  </sheetViews>
  <sheetFormatPr defaultRowHeight="15" x14ac:dyDescent="0.25"/>
  <cols>
    <col min="1" max="1" width="11.85546875" style="1" bestFit="1" customWidth="1"/>
    <col min="2" max="2" width="51" style="1" bestFit="1" customWidth="1"/>
    <col min="3" max="3" width="25" style="1" customWidth="1"/>
    <col min="4" max="4" width="16.140625" style="1" customWidth="1"/>
    <col min="5" max="6" width="29" style="1" customWidth="1"/>
    <col min="7" max="7" width="23.140625" style="1" customWidth="1"/>
    <col min="8" max="8" width="21.42578125" style="1" customWidth="1"/>
    <col min="9" max="9" width="35" style="1" customWidth="1"/>
    <col min="10" max="10" width="21" style="1" customWidth="1"/>
    <col min="11" max="11" width="102.5703125" style="1" bestFit="1" customWidth="1"/>
    <col min="12" max="13" width="16" style="1" customWidth="1"/>
    <col min="14" max="14" width="30" style="1" customWidth="1"/>
    <col min="15" max="15" width="9.140625" style="1" customWidth="1"/>
    <col min="16" max="16" width="19.7109375" style="1" customWidth="1"/>
    <col min="17" max="17" width="28.85546875" style="1" customWidth="1"/>
    <col min="18" max="18" width="32" style="1" bestFit="1" customWidth="1"/>
    <col min="19" max="19" width="36.140625" style="1" customWidth="1"/>
    <col min="20" max="20" width="9.140625" style="1"/>
    <col min="21" max="21" width="46.85546875" style="1" customWidth="1"/>
    <col min="22" max="16384" width="9.140625" style="1"/>
  </cols>
  <sheetData>
    <row r="1" spans="1:21" s="2" customFormat="1" ht="31.5" thickBot="1" x14ac:dyDescent="0.4">
      <c r="A1" s="3" t="s">
        <v>4</v>
      </c>
      <c r="B1" s="3" t="s">
        <v>0</v>
      </c>
      <c r="C1" s="3" t="s">
        <v>3</v>
      </c>
      <c r="D1" s="3" t="s">
        <v>8</v>
      </c>
      <c r="E1" s="18" t="s">
        <v>715</v>
      </c>
      <c r="F1" s="18" t="s">
        <v>716</v>
      </c>
      <c r="G1" s="3" t="s">
        <v>704</v>
      </c>
      <c r="H1" s="3" t="s">
        <v>703</v>
      </c>
      <c r="I1" s="4" t="s">
        <v>10</v>
      </c>
      <c r="J1" s="5" t="s">
        <v>1</v>
      </c>
      <c r="K1" s="5" t="s">
        <v>2</v>
      </c>
      <c r="L1" s="5" t="s">
        <v>5</v>
      </c>
      <c r="M1" s="5" t="s">
        <v>701</v>
      </c>
      <c r="N1" s="5" t="s">
        <v>711</v>
      </c>
      <c r="O1" s="5" t="s">
        <v>6</v>
      </c>
      <c r="P1" s="5" t="s">
        <v>7</v>
      </c>
      <c r="Q1" s="5" t="s">
        <v>9</v>
      </c>
      <c r="R1" s="5" t="s">
        <v>702</v>
      </c>
      <c r="S1" s="5" t="s">
        <v>712</v>
      </c>
      <c r="T1" s="5" t="s">
        <v>6</v>
      </c>
      <c r="U1" s="5" t="s">
        <v>713</v>
      </c>
    </row>
    <row r="2" spans="1:21" ht="24" customHeight="1" thickTop="1" thickBot="1" x14ac:dyDescent="0.3">
      <c r="A2" s="6">
        <v>1</v>
      </c>
      <c r="B2" s="12" t="s">
        <v>206</v>
      </c>
      <c r="C2" s="14" t="s">
        <v>360</v>
      </c>
      <c r="D2" s="8" t="s">
        <v>241</v>
      </c>
      <c r="E2" s="9"/>
      <c r="F2" s="9"/>
      <c r="G2" s="9">
        <f>F2+E2</f>
        <v>0</v>
      </c>
      <c r="H2" s="9">
        <v>10</v>
      </c>
      <c r="I2" s="9">
        <f>H2+G2</f>
        <v>10</v>
      </c>
      <c r="J2" s="10" t="s">
        <v>358</v>
      </c>
      <c r="K2" s="10" t="s">
        <v>717</v>
      </c>
      <c r="L2" s="11" t="str">
        <f>IF(I2&gt;=50,"ناجح","راسب")</f>
        <v>راسب</v>
      </c>
      <c r="M2" s="11" t="str">
        <f>IF(I2&gt;=90,"امتياز",IF(I2&gt;=80,"جيدجدا",IF(I2&gt;=70,"جيد",IF(I2&gt;=60,"متوسط ",IF(I2&gt;=50,"مقبول","ضعيف")))))</f>
        <v>ضعيف</v>
      </c>
      <c r="N2" s="7"/>
      <c r="O2" s="7"/>
      <c r="P2" s="7"/>
      <c r="Q2" s="7"/>
      <c r="R2" s="17"/>
      <c r="S2" s="17"/>
      <c r="T2" s="17"/>
      <c r="U2" s="17"/>
    </row>
    <row r="3" spans="1:21" ht="24" customHeight="1" thickBot="1" x14ac:dyDescent="0.3">
      <c r="A3" s="6">
        <v>2</v>
      </c>
      <c r="B3" s="13" t="s">
        <v>207</v>
      </c>
      <c r="C3" s="15" t="s">
        <v>361</v>
      </c>
      <c r="D3" s="8" t="s">
        <v>241</v>
      </c>
      <c r="E3" s="9"/>
      <c r="F3" s="9"/>
      <c r="G3" s="9">
        <f>F3+E3</f>
        <v>0</v>
      </c>
      <c r="H3" s="9">
        <v>10</v>
      </c>
      <c r="I3" s="9">
        <f>H3+G3</f>
        <v>10</v>
      </c>
      <c r="J3" s="10" t="s">
        <v>358</v>
      </c>
      <c r="K3" s="10" t="s">
        <v>717</v>
      </c>
      <c r="L3" s="11" t="str">
        <f>IF(I3&gt;=50,"ناجح","راسب")</f>
        <v>راسب</v>
      </c>
      <c r="M3" s="11" t="str">
        <f>IF(I3&gt;=90,"امتياز",IF(I3&gt;=80,"جيدجدا",IF(I3&gt;=70,"جيد",IF(I3&gt;=60,"متوسط ",IF(I3&gt;=50,"مقبول","ضعيف")))))</f>
        <v>ضعيف</v>
      </c>
      <c r="N3" s="7"/>
      <c r="O3" s="7"/>
      <c r="P3" s="7"/>
      <c r="Q3" s="7"/>
      <c r="R3" s="17"/>
      <c r="S3" s="17"/>
      <c r="T3" s="17"/>
      <c r="U3" s="17"/>
    </row>
    <row r="4" spans="1:21" ht="24" customHeight="1" thickBot="1" x14ac:dyDescent="0.3">
      <c r="A4" s="6">
        <v>3</v>
      </c>
      <c r="B4" s="13" t="s">
        <v>208</v>
      </c>
      <c r="C4" s="15" t="s">
        <v>362</v>
      </c>
      <c r="D4" s="8" t="s">
        <v>241</v>
      </c>
      <c r="E4" s="9"/>
      <c r="F4" s="9"/>
      <c r="G4" s="9">
        <f>F4+E4</f>
        <v>0</v>
      </c>
      <c r="H4" s="9">
        <v>10</v>
      </c>
      <c r="I4" s="9">
        <f>H4+G4</f>
        <v>10</v>
      </c>
      <c r="J4" s="10" t="s">
        <v>358</v>
      </c>
      <c r="K4" s="10" t="s">
        <v>717</v>
      </c>
      <c r="L4" s="11" t="str">
        <f>IF(I4&gt;=50,"ناجح","راسب")</f>
        <v>راسب</v>
      </c>
      <c r="M4" s="11" t="str">
        <f>IF(I4&gt;=90,"امتياز",IF(I4&gt;=80,"جيدجدا",IF(I4&gt;=70,"جيد",IF(I4&gt;=60,"متوسط ",IF(I4&gt;=50,"مقبول","ضعيف")))))</f>
        <v>ضعيف</v>
      </c>
      <c r="N4" s="7"/>
      <c r="O4" s="7"/>
      <c r="P4" s="7"/>
      <c r="Q4" s="7"/>
      <c r="R4" s="17"/>
      <c r="S4" s="17"/>
      <c r="T4" s="17"/>
      <c r="U4" s="17"/>
    </row>
    <row r="5" spans="1:21" ht="24" customHeight="1" thickBot="1" x14ac:dyDescent="0.3">
      <c r="A5" s="6">
        <v>4</v>
      </c>
      <c r="B5" s="13" t="s">
        <v>209</v>
      </c>
      <c r="C5" s="15" t="s">
        <v>363</v>
      </c>
      <c r="D5" s="8" t="s">
        <v>241</v>
      </c>
      <c r="E5" s="9"/>
      <c r="F5" s="9"/>
      <c r="G5" s="9">
        <f>F5+E5</f>
        <v>0</v>
      </c>
      <c r="H5" s="9">
        <v>10</v>
      </c>
      <c r="I5" s="9">
        <f>H5+G5</f>
        <v>10</v>
      </c>
      <c r="J5" s="10" t="s">
        <v>358</v>
      </c>
      <c r="K5" s="10" t="s">
        <v>717</v>
      </c>
      <c r="L5" s="11" t="str">
        <f>IF(I5&gt;=50,"ناجح","راسب")</f>
        <v>راسب</v>
      </c>
      <c r="M5" s="11" t="str">
        <f>IF(I5&gt;=90,"امتياز",IF(I5&gt;=80,"جيدجدا",IF(I5&gt;=70,"جيد",IF(I5&gt;=60,"متوسط ",IF(I5&gt;=50,"مقبول","ضعيف")))))</f>
        <v>ضعيف</v>
      </c>
      <c r="N5" s="7"/>
      <c r="O5" s="7"/>
      <c r="P5" s="7"/>
      <c r="Q5" s="7"/>
      <c r="R5" s="17"/>
      <c r="S5" s="17"/>
      <c r="T5" s="17"/>
      <c r="U5" s="17"/>
    </row>
    <row r="6" spans="1:21" ht="24" customHeight="1" thickBot="1" x14ac:dyDescent="0.3">
      <c r="A6" s="6">
        <v>5</v>
      </c>
      <c r="B6" s="13" t="s">
        <v>210</v>
      </c>
      <c r="C6" s="15" t="s">
        <v>364</v>
      </c>
      <c r="D6" s="8" t="s">
        <v>241</v>
      </c>
      <c r="E6" s="9"/>
      <c r="F6" s="9"/>
      <c r="G6" s="9">
        <f>F6+E6</f>
        <v>0</v>
      </c>
      <c r="H6" s="9">
        <v>10</v>
      </c>
      <c r="I6" s="9">
        <f>H6+G6</f>
        <v>10</v>
      </c>
      <c r="J6" s="10" t="s">
        <v>358</v>
      </c>
      <c r="K6" s="10" t="s">
        <v>717</v>
      </c>
      <c r="L6" s="11" t="str">
        <f>IF(I6&gt;=50,"ناجح","راسب")</f>
        <v>راسب</v>
      </c>
      <c r="M6" s="11" t="str">
        <f>IF(I6&gt;=90,"امتياز",IF(I6&gt;=80,"جيدجدا",IF(I6&gt;=70,"جيد",IF(I6&gt;=60,"متوسط ",IF(I6&gt;=50,"مقبول","ضعيف")))))</f>
        <v>ضعيف</v>
      </c>
      <c r="N6" s="7"/>
      <c r="O6" s="7"/>
      <c r="P6" s="7"/>
      <c r="Q6" s="7"/>
      <c r="R6" s="17"/>
      <c r="S6" s="17"/>
      <c r="T6" s="17"/>
      <c r="U6" s="17"/>
    </row>
    <row r="7" spans="1:21" ht="24" customHeight="1" thickBot="1" x14ac:dyDescent="0.3">
      <c r="A7" s="6">
        <v>6</v>
      </c>
      <c r="B7" s="13" t="s">
        <v>211</v>
      </c>
      <c r="C7" s="15" t="s">
        <v>365</v>
      </c>
      <c r="D7" s="8" t="s">
        <v>241</v>
      </c>
      <c r="E7" s="9"/>
      <c r="F7" s="9"/>
      <c r="G7" s="9">
        <f>F7+E7</f>
        <v>0</v>
      </c>
      <c r="H7" s="9">
        <v>10</v>
      </c>
      <c r="I7" s="9">
        <f>H7+G7</f>
        <v>10</v>
      </c>
      <c r="J7" s="10" t="s">
        <v>358</v>
      </c>
      <c r="K7" s="10" t="s">
        <v>717</v>
      </c>
      <c r="L7" s="11" t="str">
        <f>IF(I7&gt;=50,"ناجح","راسب")</f>
        <v>راسب</v>
      </c>
      <c r="M7" s="11" t="str">
        <f>IF(I7&gt;=90,"امتياز",IF(I7&gt;=80,"جيدجدا",IF(I7&gt;=70,"جيد",IF(I7&gt;=60,"متوسط ",IF(I7&gt;=50,"مقبول","ضعيف")))))</f>
        <v>ضعيف</v>
      </c>
      <c r="N7" s="7"/>
      <c r="O7" s="7"/>
      <c r="P7" s="7"/>
      <c r="Q7" s="7"/>
      <c r="R7" s="17"/>
      <c r="S7" s="17"/>
      <c r="T7" s="17"/>
      <c r="U7" s="17"/>
    </row>
    <row r="8" spans="1:21" ht="24" customHeight="1" thickBot="1" x14ac:dyDescent="0.3">
      <c r="A8" s="6">
        <v>7</v>
      </c>
      <c r="B8" s="13" t="s">
        <v>212</v>
      </c>
      <c r="C8" s="15" t="s">
        <v>366</v>
      </c>
      <c r="D8" s="8" t="s">
        <v>241</v>
      </c>
      <c r="E8" s="9"/>
      <c r="F8" s="9"/>
      <c r="G8" s="9">
        <f>F8+E8</f>
        <v>0</v>
      </c>
      <c r="H8" s="9">
        <v>10</v>
      </c>
      <c r="I8" s="9">
        <f>H8+G8</f>
        <v>10</v>
      </c>
      <c r="J8" s="10" t="s">
        <v>358</v>
      </c>
      <c r="K8" s="10" t="s">
        <v>717</v>
      </c>
      <c r="L8" s="11" t="str">
        <f>IF(I8&gt;=50,"ناجح","راسب")</f>
        <v>راسب</v>
      </c>
      <c r="M8" s="11" t="str">
        <f>IF(I8&gt;=90,"امتياز",IF(I8&gt;=80,"جيدجدا",IF(I8&gt;=70,"جيد",IF(I8&gt;=60,"متوسط ",IF(I8&gt;=50,"مقبول","ضعيف")))))</f>
        <v>ضعيف</v>
      </c>
      <c r="N8" s="7"/>
      <c r="O8" s="7"/>
      <c r="P8" s="7"/>
      <c r="Q8" s="7"/>
      <c r="R8" s="17"/>
      <c r="S8" s="17"/>
      <c r="T8" s="17"/>
      <c r="U8" s="17"/>
    </row>
    <row r="9" spans="1:21" ht="24" customHeight="1" thickBot="1" x14ac:dyDescent="0.3">
      <c r="A9" s="6">
        <v>8</v>
      </c>
      <c r="B9" s="13" t="s">
        <v>213</v>
      </c>
      <c r="C9" s="15" t="s">
        <v>367</v>
      </c>
      <c r="D9" s="8" t="s">
        <v>241</v>
      </c>
      <c r="E9" s="9"/>
      <c r="F9" s="9"/>
      <c r="G9" s="9">
        <f>F9+E9</f>
        <v>0</v>
      </c>
      <c r="H9" s="9">
        <v>10</v>
      </c>
      <c r="I9" s="9">
        <f>H9+G9</f>
        <v>10</v>
      </c>
      <c r="J9" s="10" t="s">
        <v>358</v>
      </c>
      <c r="K9" s="10" t="s">
        <v>717</v>
      </c>
      <c r="L9" s="11" t="str">
        <f>IF(I9&gt;=50,"ناجح","راسب")</f>
        <v>راسب</v>
      </c>
      <c r="M9" s="11" t="str">
        <f>IF(I9&gt;=90,"امتياز",IF(I9&gt;=80,"جيدجدا",IF(I9&gt;=70,"جيد",IF(I9&gt;=60,"متوسط ",IF(I9&gt;=50,"مقبول","ضعيف")))))</f>
        <v>ضعيف</v>
      </c>
      <c r="N9" s="7"/>
      <c r="O9" s="7"/>
      <c r="P9" s="7"/>
      <c r="Q9" s="7"/>
      <c r="R9" s="17"/>
      <c r="S9" s="17"/>
      <c r="T9" s="17"/>
      <c r="U9" s="17"/>
    </row>
    <row r="10" spans="1:21" ht="24" customHeight="1" thickBot="1" x14ac:dyDescent="0.3">
      <c r="A10" s="6">
        <v>9</v>
      </c>
      <c r="B10" s="13" t="s">
        <v>214</v>
      </c>
      <c r="C10" s="15" t="s">
        <v>368</v>
      </c>
      <c r="D10" s="8" t="s">
        <v>241</v>
      </c>
      <c r="E10" s="9"/>
      <c r="F10" s="9"/>
      <c r="G10" s="9">
        <f>F10+E10</f>
        <v>0</v>
      </c>
      <c r="H10" s="9">
        <v>10</v>
      </c>
      <c r="I10" s="9">
        <f>H10+G10</f>
        <v>10</v>
      </c>
      <c r="J10" s="10" t="s">
        <v>358</v>
      </c>
      <c r="K10" s="10" t="s">
        <v>717</v>
      </c>
      <c r="L10" s="11" t="str">
        <f>IF(I10&gt;=50,"ناجح","راسب")</f>
        <v>راسب</v>
      </c>
      <c r="M10" s="11" t="str">
        <f>IF(I10&gt;=90,"امتياز",IF(I10&gt;=80,"جيدجدا",IF(I10&gt;=70,"جيد",IF(I10&gt;=60,"متوسط ",IF(I10&gt;=50,"مقبول","ضعيف")))))</f>
        <v>ضعيف</v>
      </c>
      <c r="N10" s="7"/>
      <c r="O10" s="7"/>
      <c r="P10" s="7"/>
      <c r="Q10" s="7"/>
      <c r="R10" s="17"/>
      <c r="S10" s="17"/>
      <c r="T10" s="17"/>
      <c r="U10" s="17"/>
    </row>
    <row r="11" spans="1:21" ht="24" customHeight="1" thickBot="1" x14ac:dyDescent="0.3">
      <c r="A11" s="6">
        <v>10</v>
      </c>
      <c r="B11" s="13" t="s">
        <v>215</v>
      </c>
      <c r="C11" s="15" t="s">
        <v>369</v>
      </c>
      <c r="D11" s="8" t="s">
        <v>241</v>
      </c>
      <c r="E11" s="9"/>
      <c r="F11" s="9"/>
      <c r="G11" s="9">
        <f>F11+E11</f>
        <v>0</v>
      </c>
      <c r="H11" s="9">
        <v>10</v>
      </c>
      <c r="I11" s="9">
        <f>H11+G11</f>
        <v>10</v>
      </c>
      <c r="J11" s="10" t="s">
        <v>358</v>
      </c>
      <c r="K11" s="10" t="s">
        <v>717</v>
      </c>
      <c r="L11" s="11" t="str">
        <f>IF(I11&gt;=50,"ناجح","راسب")</f>
        <v>راسب</v>
      </c>
      <c r="M11" s="11" t="str">
        <f>IF(I11&gt;=90,"امتياز",IF(I11&gt;=80,"جيدجدا",IF(I11&gt;=70,"جيد",IF(I11&gt;=60,"متوسط ",IF(I11&gt;=50,"مقبول","ضعيف")))))</f>
        <v>ضعيف</v>
      </c>
      <c r="N11" s="7"/>
      <c r="O11" s="7"/>
      <c r="P11" s="7"/>
      <c r="Q11" s="7"/>
      <c r="R11" s="17"/>
      <c r="S11" s="17"/>
      <c r="T11" s="17"/>
      <c r="U11" s="17"/>
    </row>
    <row r="12" spans="1:21" ht="24" customHeight="1" thickBot="1" x14ac:dyDescent="0.3">
      <c r="A12" s="6">
        <v>11</v>
      </c>
      <c r="B12" s="13" t="s">
        <v>216</v>
      </c>
      <c r="C12" s="15" t="s">
        <v>370</v>
      </c>
      <c r="D12" s="8" t="s">
        <v>241</v>
      </c>
      <c r="E12" s="9"/>
      <c r="F12" s="9"/>
      <c r="G12" s="9">
        <f>F12+E12</f>
        <v>0</v>
      </c>
      <c r="H12" s="9">
        <v>10</v>
      </c>
      <c r="I12" s="9">
        <f>H12+G12</f>
        <v>10</v>
      </c>
      <c r="J12" s="10" t="s">
        <v>358</v>
      </c>
      <c r="K12" s="10" t="s">
        <v>717</v>
      </c>
      <c r="L12" s="11" t="str">
        <f>IF(I12&gt;=50,"ناجح","راسب")</f>
        <v>راسب</v>
      </c>
      <c r="M12" s="11" t="str">
        <f>IF(I12&gt;=90,"امتياز",IF(I12&gt;=80,"جيدجدا",IF(I12&gt;=70,"جيد",IF(I12&gt;=60,"متوسط ",IF(I12&gt;=50,"مقبول","ضعيف")))))</f>
        <v>ضعيف</v>
      </c>
      <c r="N12" s="7"/>
      <c r="O12" s="7"/>
      <c r="P12" s="7"/>
      <c r="Q12" s="7"/>
      <c r="R12" s="17"/>
      <c r="S12" s="17"/>
      <c r="T12" s="17"/>
      <c r="U12" s="17"/>
    </row>
    <row r="13" spans="1:21" ht="24" customHeight="1" thickBot="1" x14ac:dyDescent="0.3">
      <c r="A13" s="6">
        <v>12</v>
      </c>
      <c r="B13" s="13" t="s">
        <v>217</v>
      </c>
      <c r="C13" s="15" t="s">
        <v>371</v>
      </c>
      <c r="D13" s="8" t="s">
        <v>241</v>
      </c>
      <c r="E13" s="9"/>
      <c r="F13" s="9"/>
      <c r="G13" s="9">
        <f>F13+E13</f>
        <v>0</v>
      </c>
      <c r="H13" s="9">
        <v>10</v>
      </c>
      <c r="I13" s="9">
        <f>H13+G13</f>
        <v>10</v>
      </c>
      <c r="J13" s="10" t="s">
        <v>358</v>
      </c>
      <c r="K13" s="10" t="s">
        <v>717</v>
      </c>
      <c r="L13" s="11" t="str">
        <f>IF(I13&gt;=50,"ناجح","راسب")</f>
        <v>راسب</v>
      </c>
      <c r="M13" s="11" t="str">
        <f>IF(I13&gt;=90,"امتياز",IF(I13&gt;=80,"جيدجدا",IF(I13&gt;=70,"جيد",IF(I13&gt;=60,"متوسط ",IF(I13&gt;=50,"مقبول","ضعيف")))))</f>
        <v>ضعيف</v>
      </c>
      <c r="N13" s="7"/>
      <c r="O13" s="7"/>
      <c r="P13" s="7"/>
      <c r="Q13" s="7"/>
      <c r="R13" s="17"/>
      <c r="S13" s="17"/>
      <c r="T13" s="17"/>
      <c r="U13" s="17"/>
    </row>
    <row r="14" spans="1:21" ht="24" customHeight="1" thickBot="1" x14ac:dyDescent="0.3">
      <c r="A14" s="6">
        <v>13</v>
      </c>
      <c r="B14" s="13" t="s">
        <v>218</v>
      </c>
      <c r="C14" s="15" t="s">
        <v>372</v>
      </c>
      <c r="D14" s="8" t="s">
        <v>241</v>
      </c>
      <c r="E14" s="9"/>
      <c r="F14" s="9"/>
      <c r="G14" s="9">
        <f>F14+E14</f>
        <v>0</v>
      </c>
      <c r="H14" s="9">
        <v>10</v>
      </c>
      <c r="I14" s="9">
        <f>H14+G14</f>
        <v>10</v>
      </c>
      <c r="J14" s="10" t="s">
        <v>358</v>
      </c>
      <c r="K14" s="10" t="s">
        <v>717</v>
      </c>
      <c r="L14" s="11" t="str">
        <f>IF(I14&gt;=50,"ناجح","راسب")</f>
        <v>راسب</v>
      </c>
      <c r="M14" s="11" t="str">
        <f>IF(I14&gt;=90,"امتياز",IF(I14&gt;=80,"جيدجدا",IF(I14&gt;=70,"جيد",IF(I14&gt;=60,"متوسط ",IF(I14&gt;=50,"مقبول","ضعيف")))))</f>
        <v>ضعيف</v>
      </c>
      <c r="N14" s="7"/>
      <c r="O14" s="7"/>
      <c r="P14" s="7"/>
      <c r="Q14" s="7"/>
      <c r="R14" s="17"/>
      <c r="S14" s="17"/>
      <c r="T14" s="17"/>
      <c r="U14" s="17"/>
    </row>
    <row r="15" spans="1:21" ht="24" customHeight="1" thickBot="1" x14ac:dyDescent="0.3">
      <c r="A15" s="6">
        <v>14</v>
      </c>
      <c r="B15" s="13" t="s">
        <v>219</v>
      </c>
      <c r="C15" s="15" t="s">
        <v>373</v>
      </c>
      <c r="D15" s="8" t="s">
        <v>241</v>
      </c>
      <c r="E15" s="9"/>
      <c r="F15" s="9"/>
      <c r="G15" s="9">
        <f>F15+E15</f>
        <v>0</v>
      </c>
      <c r="H15" s="9">
        <v>10</v>
      </c>
      <c r="I15" s="9">
        <f>H15+G15</f>
        <v>10</v>
      </c>
      <c r="J15" s="10" t="s">
        <v>358</v>
      </c>
      <c r="K15" s="10" t="s">
        <v>717</v>
      </c>
      <c r="L15" s="11" t="str">
        <f>IF(I15&gt;=50,"ناجح","راسب")</f>
        <v>راسب</v>
      </c>
      <c r="M15" s="11" t="str">
        <f>IF(I15&gt;=90,"امتياز",IF(I15&gt;=80,"جيدجدا",IF(I15&gt;=70,"جيد",IF(I15&gt;=60,"متوسط ",IF(I15&gt;=50,"مقبول","ضعيف")))))</f>
        <v>ضعيف</v>
      </c>
      <c r="N15" s="7"/>
      <c r="O15" s="7"/>
      <c r="P15" s="7"/>
      <c r="Q15" s="7"/>
      <c r="R15" s="17"/>
      <c r="S15" s="17"/>
      <c r="T15" s="17"/>
      <c r="U15" s="17"/>
    </row>
    <row r="16" spans="1:21" ht="24" customHeight="1" thickBot="1" x14ac:dyDescent="0.3">
      <c r="A16" s="6">
        <v>15</v>
      </c>
      <c r="B16" s="13" t="s">
        <v>220</v>
      </c>
      <c r="C16" s="15" t="s">
        <v>374</v>
      </c>
      <c r="D16" s="8" t="s">
        <v>241</v>
      </c>
      <c r="E16" s="9"/>
      <c r="F16" s="9"/>
      <c r="G16" s="9">
        <f>F16+E16</f>
        <v>0</v>
      </c>
      <c r="H16" s="9">
        <v>10</v>
      </c>
      <c r="I16" s="9">
        <f>H16+G16</f>
        <v>10</v>
      </c>
      <c r="J16" s="10" t="s">
        <v>358</v>
      </c>
      <c r="K16" s="10" t="s">
        <v>717</v>
      </c>
      <c r="L16" s="11" t="str">
        <f>IF(I16&gt;=50,"ناجح","راسب")</f>
        <v>راسب</v>
      </c>
      <c r="M16" s="11" t="str">
        <f>IF(I16&gt;=90,"امتياز",IF(I16&gt;=80,"جيدجدا",IF(I16&gt;=70,"جيد",IF(I16&gt;=60,"متوسط ",IF(I16&gt;=50,"مقبول","ضعيف")))))</f>
        <v>ضعيف</v>
      </c>
      <c r="N16" s="7"/>
      <c r="O16" s="7"/>
      <c r="P16" s="7"/>
      <c r="Q16" s="7"/>
      <c r="R16" s="17"/>
      <c r="S16" s="17"/>
      <c r="T16" s="17"/>
      <c r="U16" s="17"/>
    </row>
    <row r="17" spans="1:21" ht="24" customHeight="1" thickBot="1" x14ac:dyDescent="0.3">
      <c r="A17" s="6">
        <v>16</v>
      </c>
      <c r="B17" s="13" t="s">
        <v>221</v>
      </c>
      <c r="C17" s="15" t="s">
        <v>375</v>
      </c>
      <c r="D17" s="8" t="s">
        <v>241</v>
      </c>
      <c r="E17" s="9"/>
      <c r="F17" s="9"/>
      <c r="G17" s="9">
        <f>F17+E17</f>
        <v>0</v>
      </c>
      <c r="H17" s="9">
        <v>10</v>
      </c>
      <c r="I17" s="9">
        <f>H17+G17</f>
        <v>10</v>
      </c>
      <c r="J17" s="10" t="s">
        <v>358</v>
      </c>
      <c r="K17" s="10" t="s">
        <v>717</v>
      </c>
      <c r="L17" s="11" t="str">
        <f>IF(I17&gt;=50,"ناجح","راسب")</f>
        <v>راسب</v>
      </c>
      <c r="M17" s="11" t="str">
        <f>IF(I17&gt;=90,"امتياز",IF(I17&gt;=80,"جيدجدا",IF(I17&gt;=70,"جيد",IF(I17&gt;=60,"متوسط ",IF(I17&gt;=50,"مقبول","ضعيف")))))</f>
        <v>ضعيف</v>
      </c>
      <c r="N17" s="7"/>
      <c r="O17" s="7"/>
      <c r="P17" s="7"/>
      <c r="Q17" s="7"/>
      <c r="R17" s="17"/>
      <c r="S17" s="17"/>
      <c r="T17" s="17"/>
      <c r="U17" s="17"/>
    </row>
    <row r="18" spans="1:21" ht="24" customHeight="1" thickBot="1" x14ac:dyDescent="0.3">
      <c r="A18" s="6">
        <v>17</v>
      </c>
      <c r="B18" s="13" t="s">
        <v>222</v>
      </c>
      <c r="C18" s="15" t="s">
        <v>376</v>
      </c>
      <c r="D18" s="8" t="s">
        <v>241</v>
      </c>
      <c r="E18" s="9"/>
      <c r="F18" s="9"/>
      <c r="G18" s="9">
        <f>F18+E18</f>
        <v>0</v>
      </c>
      <c r="H18" s="9">
        <v>10</v>
      </c>
      <c r="I18" s="9">
        <f>H18+G18</f>
        <v>10</v>
      </c>
      <c r="J18" s="10" t="s">
        <v>358</v>
      </c>
      <c r="K18" s="10" t="s">
        <v>717</v>
      </c>
      <c r="L18" s="11" t="str">
        <f>IF(I18&gt;=50,"ناجح","راسب")</f>
        <v>راسب</v>
      </c>
      <c r="M18" s="11" t="str">
        <f>IF(I18&gt;=90,"امتياز",IF(I18&gt;=80,"جيدجدا",IF(I18&gt;=70,"جيد",IF(I18&gt;=60,"متوسط ",IF(I18&gt;=50,"مقبول","ضعيف")))))</f>
        <v>ضعيف</v>
      </c>
      <c r="N18" s="7"/>
      <c r="O18" s="7"/>
      <c r="P18" s="7"/>
      <c r="Q18" s="7"/>
      <c r="R18" s="17"/>
      <c r="S18" s="17"/>
      <c r="T18" s="17"/>
      <c r="U18" s="17"/>
    </row>
    <row r="19" spans="1:21" ht="24" customHeight="1" thickBot="1" x14ac:dyDescent="0.3">
      <c r="A19" s="6">
        <v>18</v>
      </c>
      <c r="B19" s="13" t="s">
        <v>223</v>
      </c>
      <c r="C19" s="15" t="s">
        <v>377</v>
      </c>
      <c r="D19" s="8" t="s">
        <v>241</v>
      </c>
      <c r="E19" s="9"/>
      <c r="F19" s="9"/>
      <c r="G19" s="9">
        <f>F19+E19</f>
        <v>0</v>
      </c>
      <c r="H19" s="9">
        <v>10</v>
      </c>
      <c r="I19" s="9">
        <f>H19+G19</f>
        <v>10</v>
      </c>
      <c r="J19" s="10" t="s">
        <v>358</v>
      </c>
      <c r="K19" s="10" t="s">
        <v>717</v>
      </c>
      <c r="L19" s="11" t="str">
        <f>IF(I19&gt;=50,"ناجح","راسب")</f>
        <v>راسب</v>
      </c>
      <c r="M19" s="11" t="str">
        <f>IF(I19&gt;=90,"امتياز",IF(I19&gt;=80,"جيدجدا",IF(I19&gt;=70,"جيد",IF(I19&gt;=60,"متوسط ",IF(I19&gt;=50,"مقبول","ضعيف")))))</f>
        <v>ضعيف</v>
      </c>
      <c r="N19" s="7"/>
      <c r="O19" s="7"/>
      <c r="P19" s="7"/>
      <c r="Q19" s="7"/>
      <c r="R19" s="17"/>
      <c r="S19" s="17"/>
      <c r="T19" s="17"/>
      <c r="U19" s="17"/>
    </row>
    <row r="20" spans="1:21" ht="24" customHeight="1" thickBot="1" x14ac:dyDescent="0.3">
      <c r="A20" s="6">
        <v>19</v>
      </c>
      <c r="B20" s="13" t="s">
        <v>224</v>
      </c>
      <c r="C20" s="15" t="s">
        <v>378</v>
      </c>
      <c r="D20" s="8" t="s">
        <v>241</v>
      </c>
      <c r="E20" s="9"/>
      <c r="F20" s="9"/>
      <c r="G20" s="9">
        <f>F20+E20</f>
        <v>0</v>
      </c>
      <c r="H20" s="9">
        <v>10</v>
      </c>
      <c r="I20" s="9">
        <f>H20+G20</f>
        <v>10</v>
      </c>
      <c r="J20" s="10" t="s">
        <v>358</v>
      </c>
      <c r="K20" s="10" t="s">
        <v>717</v>
      </c>
      <c r="L20" s="11" t="str">
        <f>IF(I20&gt;=50,"ناجح","راسب")</f>
        <v>راسب</v>
      </c>
      <c r="M20" s="11" t="str">
        <f>IF(I20&gt;=90,"امتياز",IF(I20&gt;=80,"جيدجدا",IF(I20&gt;=70,"جيد",IF(I20&gt;=60,"متوسط ",IF(I20&gt;=50,"مقبول","ضعيف")))))</f>
        <v>ضعيف</v>
      </c>
      <c r="N20" s="7"/>
      <c r="O20" s="7"/>
      <c r="P20" s="7"/>
      <c r="Q20" s="7"/>
      <c r="R20" s="17"/>
      <c r="S20" s="17"/>
      <c r="T20" s="17"/>
      <c r="U20" s="17"/>
    </row>
    <row r="21" spans="1:21" ht="24" customHeight="1" thickBot="1" x14ac:dyDescent="0.3">
      <c r="A21" s="6">
        <v>20</v>
      </c>
      <c r="B21" s="13" t="s">
        <v>225</v>
      </c>
      <c r="C21" s="15" t="s">
        <v>379</v>
      </c>
      <c r="D21" s="8" t="s">
        <v>241</v>
      </c>
      <c r="E21" s="9"/>
      <c r="F21" s="9"/>
      <c r="G21" s="9">
        <f>F21+E21</f>
        <v>0</v>
      </c>
      <c r="H21" s="9">
        <v>10</v>
      </c>
      <c r="I21" s="9">
        <f>H21+G21</f>
        <v>10</v>
      </c>
      <c r="J21" s="10" t="s">
        <v>358</v>
      </c>
      <c r="K21" s="10" t="s">
        <v>717</v>
      </c>
      <c r="L21" s="11" t="str">
        <f>IF(I21&gt;=50,"ناجح","راسب")</f>
        <v>راسب</v>
      </c>
      <c r="M21" s="11" t="str">
        <f>IF(I21&gt;=90,"امتياز",IF(I21&gt;=80,"جيدجدا",IF(I21&gt;=70,"جيد",IF(I21&gt;=60,"متوسط ",IF(I21&gt;=50,"مقبول","ضعيف")))))</f>
        <v>ضعيف</v>
      </c>
      <c r="N21" s="7"/>
      <c r="O21" s="7"/>
      <c r="P21" s="7"/>
      <c r="Q21" s="7"/>
      <c r="R21" s="17"/>
      <c r="S21" s="17"/>
      <c r="T21" s="17"/>
      <c r="U21" s="17"/>
    </row>
    <row r="22" spans="1:21" ht="24" customHeight="1" thickBot="1" x14ac:dyDescent="0.3">
      <c r="A22" s="6">
        <v>21</v>
      </c>
      <c r="B22" s="13" t="s">
        <v>226</v>
      </c>
      <c r="C22" s="15" t="s">
        <v>380</v>
      </c>
      <c r="D22" s="8" t="s">
        <v>241</v>
      </c>
      <c r="E22" s="9"/>
      <c r="F22" s="9"/>
      <c r="G22" s="9">
        <f>F22+E22</f>
        <v>0</v>
      </c>
      <c r="H22" s="9">
        <v>10</v>
      </c>
      <c r="I22" s="9">
        <f>H22+G22</f>
        <v>10</v>
      </c>
      <c r="J22" s="10" t="s">
        <v>358</v>
      </c>
      <c r="K22" s="10" t="s">
        <v>717</v>
      </c>
      <c r="L22" s="11" t="str">
        <f>IF(I22&gt;=50,"ناجح","راسب")</f>
        <v>راسب</v>
      </c>
      <c r="M22" s="11" t="str">
        <f>IF(I22&gt;=90,"امتياز",IF(I22&gt;=80,"جيدجدا",IF(I22&gt;=70,"جيد",IF(I22&gt;=60,"متوسط ",IF(I22&gt;=50,"مقبول","ضعيف")))))</f>
        <v>ضعيف</v>
      </c>
      <c r="N22" s="7"/>
      <c r="O22" s="7"/>
      <c r="P22" s="7"/>
      <c r="Q22" s="7"/>
      <c r="R22" s="17"/>
      <c r="S22" s="17"/>
      <c r="T22" s="17"/>
      <c r="U22" s="17"/>
    </row>
    <row r="23" spans="1:21" ht="24" customHeight="1" thickBot="1" x14ac:dyDescent="0.3">
      <c r="A23" s="6">
        <v>22</v>
      </c>
      <c r="B23" s="13" t="s">
        <v>227</v>
      </c>
      <c r="C23" s="15" t="s">
        <v>381</v>
      </c>
      <c r="D23" s="8" t="s">
        <v>241</v>
      </c>
      <c r="E23" s="9"/>
      <c r="F23" s="9"/>
      <c r="G23" s="9">
        <f>F23+E23</f>
        <v>0</v>
      </c>
      <c r="H23" s="9">
        <v>10</v>
      </c>
      <c r="I23" s="9">
        <f>H23+G23</f>
        <v>10</v>
      </c>
      <c r="J23" s="10" t="s">
        <v>358</v>
      </c>
      <c r="K23" s="10" t="s">
        <v>717</v>
      </c>
      <c r="L23" s="11" t="str">
        <f>IF(I23&gt;=50,"ناجح","راسب")</f>
        <v>راسب</v>
      </c>
      <c r="M23" s="11" t="str">
        <f>IF(I23&gt;=90,"امتياز",IF(I23&gt;=80,"جيدجدا",IF(I23&gt;=70,"جيد",IF(I23&gt;=60,"متوسط ",IF(I23&gt;=50,"مقبول","ضعيف")))))</f>
        <v>ضعيف</v>
      </c>
      <c r="N23" s="7"/>
      <c r="O23" s="7"/>
      <c r="P23" s="7"/>
      <c r="Q23" s="7"/>
      <c r="R23" s="17"/>
      <c r="S23" s="17"/>
      <c r="T23" s="17"/>
      <c r="U23" s="17"/>
    </row>
    <row r="24" spans="1:21" ht="24" customHeight="1" thickBot="1" x14ac:dyDescent="0.3">
      <c r="A24" s="6">
        <v>23</v>
      </c>
      <c r="B24" s="13" t="s">
        <v>228</v>
      </c>
      <c r="C24" s="15" t="s">
        <v>382</v>
      </c>
      <c r="D24" s="8" t="s">
        <v>241</v>
      </c>
      <c r="E24" s="9"/>
      <c r="F24" s="9"/>
      <c r="G24" s="9">
        <f>F24+E24</f>
        <v>0</v>
      </c>
      <c r="H24" s="9">
        <v>10</v>
      </c>
      <c r="I24" s="9">
        <f>H24+G24</f>
        <v>10</v>
      </c>
      <c r="J24" s="10" t="s">
        <v>358</v>
      </c>
      <c r="K24" s="10" t="s">
        <v>717</v>
      </c>
      <c r="L24" s="11" t="str">
        <f>IF(I24&gt;=50,"ناجح","راسب")</f>
        <v>راسب</v>
      </c>
      <c r="M24" s="11" t="str">
        <f>IF(I24&gt;=90,"امتياز",IF(I24&gt;=80,"جيدجدا",IF(I24&gt;=70,"جيد",IF(I24&gt;=60,"متوسط ",IF(I24&gt;=50,"مقبول","ضعيف")))))</f>
        <v>ضعيف</v>
      </c>
      <c r="N24" s="7"/>
      <c r="O24" s="7"/>
      <c r="P24" s="7"/>
      <c r="Q24" s="7"/>
      <c r="R24" s="17"/>
      <c r="S24" s="17"/>
      <c r="T24" s="17"/>
      <c r="U24" s="17"/>
    </row>
    <row r="25" spans="1:21" ht="24" customHeight="1" thickBot="1" x14ac:dyDescent="0.3">
      <c r="A25" s="6">
        <v>24</v>
      </c>
      <c r="B25" s="13" t="s">
        <v>229</v>
      </c>
      <c r="C25" s="15" t="s">
        <v>383</v>
      </c>
      <c r="D25" s="8" t="s">
        <v>241</v>
      </c>
      <c r="E25" s="9"/>
      <c r="F25" s="9"/>
      <c r="G25" s="9">
        <f>F25+E25</f>
        <v>0</v>
      </c>
      <c r="H25" s="9">
        <v>10</v>
      </c>
      <c r="I25" s="9">
        <f>H25+G25</f>
        <v>10</v>
      </c>
      <c r="J25" s="10" t="s">
        <v>358</v>
      </c>
      <c r="K25" s="10" t="s">
        <v>717</v>
      </c>
      <c r="L25" s="11" t="str">
        <f>IF(I25&gt;=50,"ناجح","راسب")</f>
        <v>راسب</v>
      </c>
      <c r="M25" s="11" t="str">
        <f>IF(I25&gt;=90,"امتياز",IF(I25&gt;=80,"جيدجدا",IF(I25&gt;=70,"جيد",IF(I25&gt;=60,"متوسط ",IF(I25&gt;=50,"مقبول","ضعيف")))))</f>
        <v>ضعيف</v>
      </c>
      <c r="N25" s="7"/>
      <c r="O25" s="7"/>
      <c r="P25" s="7"/>
      <c r="Q25" s="7"/>
      <c r="R25" s="17"/>
      <c r="S25" s="17"/>
      <c r="T25" s="17"/>
      <c r="U25" s="17"/>
    </row>
    <row r="26" spans="1:21" ht="24" customHeight="1" thickBot="1" x14ac:dyDescent="0.3">
      <c r="A26" s="6">
        <v>25</v>
      </c>
      <c r="B26" s="13" t="s">
        <v>230</v>
      </c>
      <c r="C26" s="15" t="s">
        <v>384</v>
      </c>
      <c r="D26" s="8" t="s">
        <v>241</v>
      </c>
      <c r="E26" s="9"/>
      <c r="F26" s="9"/>
      <c r="G26" s="9">
        <f>F26+E26</f>
        <v>0</v>
      </c>
      <c r="H26" s="9">
        <v>10</v>
      </c>
      <c r="I26" s="9">
        <f>H26+G26</f>
        <v>10</v>
      </c>
      <c r="J26" s="10" t="s">
        <v>358</v>
      </c>
      <c r="K26" s="10" t="s">
        <v>717</v>
      </c>
      <c r="L26" s="11" t="str">
        <f>IF(I26&gt;=50,"ناجح","راسب")</f>
        <v>راسب</v>
      </c>
      <c r="M26" s="11" t="str">
        <f>IF(I26&gt;=90,"امتياز",IF(I26&gt;=80,"جيدجدا",IF(I26&gt;=70,"جيد",IF(I26&gt;=60,"متوسط ",IF(I26&gt;=50,"مقبول","ضعيف")))))</f>
        <v>ضعيف</v>
      </c>
      <c r="N26" s="7"/>
      <c r="O26" s="7"/>
      <c r="P26" s="7"/>
      <c r="Q26" s="7"/>
      <c r="R26" s="17"/>
      <c r="S26" s="17"/>
      <c r="T26" s="17"/>
      <c r="U26" s="17"/>
    </row>
    <row r="27" spans="1:21" ht="24" customHeight="1" thickBot="1" x14ac:dyDescent="0.3">
      <c r="A27" s="6">
        <v>26</v>
      </c>
      <c r="B27" s="13" t="s">
        <v>120</v>
      </c>
      <c r="C27" s="15" t="s">
        <v>385</v>
      </c>
      <c r="D27" s="8" t="s">
        <v>154</v>
      </c>
      <c r="E27" s="9">
        <v>66</v>
      </c>
      <c r="F27" s="9">
        <v>15</v>
      </c>
      <c r="G27" s="9">
        <f>F27+E27</f>
        <v>81</v>
      </c>
      <c r="H27" s="9">
        <v>0</v>
      </c>
      <c r="I27" s="9">
        <f>H27+G27</f>
        <v>81</v>
      </c>
      <c r="J27" s="10" t="s">
        <v>358</v>
      </c>
      <c r="K27" s="10" t="s">
        <v>717</v>
      </c>
      <c r="L27" s="11" t="str">
        <f>IF(I27&gt;=50,"ناجح","راسب")</f>
        <v>ناجح</v>
      </c>
      <c r="M27" s="11" t="str">
        <f>IF(I27&gt;=90,"امتياز",IF(I27&gt;=80,"جيدجدا",IF(I27&gt;=70,"جيد",IF(I27&gt;=60,"متوسط ",IF(I27&gt;=50,"مقبول","ضعيف")))))</f>
        <v>جيدجدا</v>
      </c>
      <c r="N27" s="7">
        <v>4</v>
      </c>
      <c r="O27" s="7" t="s">
        <v>6</v>
      </c>
      <c r="P27" s="7">
        <v>25</v>
      </c>
      <c r="Q27" s="7">
        <v>35</v>
      </c>
      <c r="R27" s="17">
        <v>71.430000000000007</v>
      </c>
      <c r="S27" s="17"/>
      <c r="T27" s="17"/>
      <c r="U27" s="17"/>
    </row>
    <row r="28" spans="1:21" ht="24" customHeight="1" thickBot="1" x14ac:dyDescent="0.3">
      <c r="A28" s="6">
        <v>27</v>
      </c>
      <c r="B28" s="13" t="s">
        <v>121</v>
      </c>
      <c r="C28" s="15" t="s">
        <v>386</v>
      </c>
      <c r="D28" s="8" t="s">
        <v>154</v>
      </c>
      <c r="E28" s="9">
        <v>71</v>
      </c>
      <c r="F28" s="9">
        <v>2</v>
      </c>
      <c r="G28" s="9">
        <f>F28+E28</f>
        <v>73</v>
      </c>
      <c r="H28" s="9">
        <v>0</v>
      </c>
      <c r="I28" s="9">
        <f>H28+G28</f>
        <v>73</v>
      </c>
      <c r="J28" s="10" t="s">
        <v>358</v>
      </c>
      <c r="K28" s="10" t="s">
        <v>717</v>
      </c>
      <c r="L28" s="11" t="str">
        <f>IF(I28&gt;=50,"ناجح","راسب")</f>
        <v>ناجح</v>
      </c>
      <c r="M28" s="11" t="str">
        <f>IF(I28&gt;=90,"امتياز",IF(I28&gt;=80,"جيدجدا",IF(I28&gt;=70,"جيد",IF(I28&gt;=60,"متوسط ",IF(I28&gt;=50,"مقبول","ضعيف")))))</f>
        <v>جيد</v>
      </c>
      <c r="N28" s="7">
        <v>9</v>
      </c>
      <c r="O28" s="7" t="s">
        <v>6</v>
      </c>
      <c r="P28" s="7">
        <v>25</v>
      </c>
      <c r="Q28" s="7">
        <v>35</v>
      </c>
      <c r="R28" s="17">
        <v>71.430000000000007</v>
      </c>
      <c r="S28" s="17"/>
      <c r="T28" s="17"/>
      <c r="U28" s="17"/>
    </row>
    <row r="29" spans="1:21" ht="24" customHeight="1" thickBot="1" x14ac:dyDescent="0.3">
      <c r="A29" s="6">
        <v>28</v>
      </c>
      <c r="B29" s="13" t="s">
        <v>122</v>
      </c>
      <c r="C29" s="15" t="s">
        <v>387</v>
      </c>
      <c r="D29" s="8" t="s">
        <v>154</v>
      </c>
      <c r="E29" s="9">
        <v>0</v>
      </c>
      <c r="F29" s="9">
        <v>0</v>
      </c>
      <c r="G29" s="9">
        <f>F29+E29</f>
        <v>0</v>
      </c>
      <c r="H29" s="9">
        <v>0</v>
      </c>
      <c r="I29" s="9">
        <f>H29+G29</f>
        <v>0</v>
      </c>
      <c r="J29" s="10" t="s">
        <v>358</v>
      </c>
      <c r="K29" s="10" t="s">
        <v>717</v>
      </c>
      <c r="L29" s="11" t="str">
        <f>IF(I29&gt;=50,"ناجح","راسب")</f>
        <v>راسب</v>
      </c>
      <c r="M29" s="11" t="str">
        <f>IF(I29&gt;=90,"امتياز",IF(I29&gt;=80,"جيدجدا",IF(I29&gt;=70,"جيد",IF(I29&gt;=60,"متوسط ",IF(I29&gt;=50,"مقبول","ضعيف")))))</f>
        <v>ضعيف</v>
      </c>
      <c r="N29" s="7"/>
      <c r="O29" s="7"/>
      <c r="P29" s="7">
        <v>25</v>
      </c>
      <c r="Q29" s="7">
        <v>35</v>
      </c>
      <c r="R29" s="17">
        <v>71.430000000000007</v>
      </c>
      <c r="S29" s="17"/>
      <c r="T29" s="17"/>
      <c r="U29" s="17"/>
    </row>
    <row r="30" spans="1:21" ht="24" customHeight="1" thickBot="1" x14ac:dyDescent="0.3">
      <c r="A30" s="6">
        <v>29</v>
      </c>
      <c r="B30" s="13" t="s">
        <v>297</v>
      </c>
      <c r="C30" s="15" t="s">
        <v>388</v>
      </c>
      <c r="D30" s="8" t="s">
        <v>154</v>
      </c>
      <c r="E30" s="9">
        <v>44</v>
      </c>
      <c r="F30" s="9">
        <v>15</v>
      </c>
      <c r="G30" s="9">
        <f>F30+E30</f>
        <v>59</v>
      </c>
      <c r="H30" s="9">
        <v>0</v>
      </c>
      <c r="I30" s="9">
        <f>H30+G30</f>
        <v>59</v>
      </c>
      <c r="J30" s="10" t="s">
        <v>358</v>
      </c>
      <c r="K30" s="10" t="s">
        <v>717</v>
      </c>
      <c r="L30" s="11" t="str">
        <f>IF(I30&gt;=50,"ناجح","راسب")</f>
        <v>ناجح</v>
      </c>
      <c r="M30" s="11" t="str">
        <f>IF(I30&gt;=90,"امتياز",IF(I30&gt;=80,"جيدجدا",IF(I30&gt;=70,"جيد",IF(I30&gt;=60,"متوسط ",IF(I30&gt;=50,"مقبول","ضعيف")))))</f>
        <v>مقبول</v>
      </c>
      <c r="N30" s="7">
        <v>15</v>
      </c>
      <c r="O30" s="7" t="s">
        <v>6</v>
      </c>
      <c r="P30" s="7">
        <v>25</v>
      </c>
      <c r="Q30" s="7">
        <v>35</v>
      </c>
      <c r="R30" s="17">
        <v>71.430000000000007</v>
      </c>
      <c r="S30" s="17"/>
      <c r="T30" s="17"/>
      <c r="U30" s="17"/>
    </row>
    <row r="31" spans="1:21" ht="24" customHeight="1" thickBot="1" x14ac:dyDescent="0.3">
      <c r="A31" s="6">
        <v>30</v>
      </c>
      <c r="B31" s="13" t="s">
        <v>123</v>
      </c>
      <c r="C31" s="15" t="s">
        <v>389</v>
      </c>
      <c r="D31" s="8" t="s">
        <v>154</v>
      </c>
      <c r="E31" s="9">
        <v>0</v>
      </c>
      <c r="F31" s="9">
        <v>0</v>
      </c>
      <c r="G31" s="9">
        <f>F31+E31</f>
        <v>0</v>
      </c>
      <c r="H31" s="9">
        <v>0</v>
      </c>
      <c r="I31" s="9">
        <f>H31+G31</f>
        <v>0</v>
      </c>
      <c r="J31" s="10" t="s">
        <v>358</v>
      </c>
      <c r="K31" s="10" t="s">
        <v>717</v>
      </c>
      <c r="L31" s="11" t="str">
        <f>IF(I31&gt;=50,"ناجح","راسب")</f>
        <v>راسب</v>
      </c>
      <c r="M31" s="11" t="str">
        <f>IF(I31&gt;=90,"امتياز",IF(I31&gt;=80,"جيدجدا",IF(I31&gt;=70,"جيد",IF(I31&gt;=60,"متوسط ",IF(I31&gt;=50,"مقبول","ضعيف")))))</f>
        <v>ضعيف</v>
      </c>
      <c r="N31" s="7"/>
      <c r="O31" s="7"/>
      <c r="P31" s="7">
        <v>25</v>
      </c>
      <c r="Q31" s="7">
        <v>35</v>
      </c>
      <c r="R31" s="17">
        <v>71.430000000000007</v>
      </c>
      <c r="S31" s="17"/>
      <c r="T31" s="17"/>
      <c r="U31" s="17"/>
    </row>
    <row r="32" spans="1:21" ht="24" customHeight="1" thickBot="1" x14ac:dyDescent="0.3">
      <c r="A32" s="6">
        <v>31</v>
      </c>
      <c r="B32" s="13" t="s">
        <v>124</v>
      </c>
      <c r="C32" s="15" t="s">
        <v>390</v>
      </c>
      <c r="D32" s="8" t="s">
        <v>154</v>
      </c>
      <c r="E32" s="9">
        <v>41</v>
      </c>
      <c r="F32" s="9">
        <v>5</v>
      </c>
      <c r="G32" s="9">
        <f>F32+E32</f>
        <v>46</v>
      </c>
      <c r="H32" s="9">
        <v>0</v>
      </c>
      <c r="I32" s="9">
        <f>H32+G32</f>
        <v>46</v>
      </c>
      <c r="J32" s="10" t="s">
        <v>358</v>
      </c>
      <c r="K32" s="10" t="s">
        <v>717</v>
      </c>
      <c r="L32" s="11" t="str">
        <f>IF(I32&gt;=50,"ناجح","راسب")</f>
        <v>راسب</v>
      </c>
      <c r="M32" s="11" t="str">
        <f>IF(I32&gt;=90,"امتياز",IF(I32&gt;=80,"جيدجدا",IF(I32&gt;=70,"جيد",IF(I32&gt;=60,"متوسط ",IF(I32&gt;=50,"مقبول","ضعيف")))))</f>
        <v>ضعيف</v>
      </c>
      <c r="N32" s="7"/>
      <c r="O32" s="7"/>
      <c r="P32" s="7">
        <v>25</v>
      </c>
      <c r="Q32" s="7">
        <v>35</v>
      </c>
      <c r="R32" s="17">
        <v>71.430000000000007</v>
      </c>
      <c r="S32" s="17"/>
      <c r="T32" s="17"/>
      <c r="U32" s="17"/>
    </row>
    <row r="33" spans="1:21" ht="24" customHeight="1" thickBot="1" x14ac:dyDescent="0.3">
      <c r="A33" s="6">
        <v>32</v>
      </c>
      <c r="B33" s="13" t="s">
        <v>125</v>
      </c>
      <c r="C33" s="15" t="s">
        <v>391</v>
      </c>
      <c r="D33" s="8" t="s">
        <v>154</v>
      </c>
      <c r="E33" s="9">
        <v>71</v>
      </c>
      <c r="F33" s="9">
        <v>18</v>
      </c>
      <c r="G33" s="9">
        <f>F33+E33</f>
        <v>89</v>
      </c>
      <c r="H33" s="9">
        <v>0</v>
      </c>
      <c r="I33" s="9">
        <f>H33+G33</f>
        <v>89</v>
      </c>
      <c r="J33" s="10" t="s">
        <v>358</v>
      </c>
      <c r="K33" s="10" t="s">
        <v>717</v>
      </c>
      <c r="L33" s="11" t="str">
        <f>IF(I33&gt;=50,"ناجح","راسب")</f>
        <v>ناجح</v>
      </c>
      <c r="M33" s="11" t="str">
        <f>IF(I33&gt;=90,"امتياز",IF(I33&gt;=80,"جيدجدا",IF(I33&gt;=70,"جيد",IF(I33&gt;=60,"متوسط ",IF(I33&gt;=50,"مقبول","ضعيف")))))</f>
        <v>جيدجدا</v>
      </c>
      <c r="N33" s="7">
        <v>2</v>
      </c>
      <c r="O33" s="7" t="s">
        <v>6</v>
      </c>
      <c r="P33" s="7">
        <v>25</v>
      </c>
      <c r="Q33" s="7">
        <v>35</v>
      </c>
      <c r="R33" s="17">
        <v>71.430000000000007</v>
      </c>
      <c r="S33" s="17"/>
      <c r="T33" s="17"/>
      <c r="U33" s="17"/>
    </row>
    <row r="34" spans="1:21" ht="24" customHeight="1" thickBot="1" x14ac:dyDescent="0.3">
      <c r="A34" s="6">
        <v>33</v>
      </c>
      <c r="B34" s="13" t="s">
        <v>126</v>
      </c>
      <c r="C34" s="15" t="s">
        <v>392</v>
      </c>
      <c r="D34" s="8" t="s">
        <v>154</v>
      </c>
      <c r="E34" s="9">
        <v>73</v>
      </c>
      <c r="F34" s="9">
        <v>20</v>
      </c>
      <c r="G34" s="9">
        <f>F34+E34</f>
        <v>93</v>
      </c>
      <c r="H34" s="9">
        <v>0</v>
      </c>
      <c r="I34" s="9">
        <f>H34+G34</f>
        <v>93</v>
      </c>
      <c r="J34" s="10" t="s">
        <v>358</v>
      </c>
      <c r="K34" s="10" t="s">
        <v>717</v>
      </c>
      <c r="L34" s="11" t="str">
        <f>IF(I34&gt;=50,"ناجح","راسب")</f>
        <v>ناجح</v>
      </c>
      <c r="M34" s="11" t="str">
        <f>IF(I34&gt;=90,"امتياز",IF(I34&gt;=80,"جيدجدا",IF(I34&gt;=70,"جيد",IF(I34&gt;=60,"متوسط ",IF(I34&gt;=50,"مقبول","ضعيف")))))</f>
        <v>امتياز</v>
      </c>
      <c r="N34" s="7">
        <v>1</v>
      </c>
      <c r="O34" s="7" t="s">
        <v>6</v>
      </c>
      <c r="P34" s="7">
        <v>25</v>
      </c>
      <c r="Q34" s="7">
        <v>35</v>
      </c>
      <c r="R34" s="17">
        <v>71.430000000000007</v>
      </c>
      <c r="S34" s="17"/>
      <c r="T34" s="17"/>
      <c r="U34" s="17"/>
    </row>
    <row r="35" spans="1:21" ht="24" customHeight="1" thickBot="1" x14ac:dyDescent="0.3">
      <c r="A35" s="6">
        <v>34</v>
      </c>
      <c r="B35" s="13" t="s">
        <v>127</v>
      </c>
      <c r="C35" s="15" t="s">
        <v>393</v>
      </c>
      <c r="D35" s="8" t="s">
        <v>154</v>
      </c>
      <c r="E35" s="9">
        <v>60</v>
      </c>
      <c r="F35" s="9">
        <v>15</v>
      </c>
      <c r="G35" s="9">
        <f>F35+E35</f>
        <v>75</v>
      </c>
      <c r="H35" s="9">
        <v>0</v>
      </c>
      <c r="I35" s="9">
        <f>H35+G35</f>
        <v>75</v>
      </c>
      <c r="J35" s="10" t="s">
        <v>358</v>
      </c>
      <c r="K35" s="10" t="s">
        <v>717</v>
      </c>
      <c r="L35" s="11" t="str">
        <f>IF(I35&gt;=50,"ناجح","راسب")</f>
        <v>ناجح</v>
      </c>
      <c r="M35" s="11" t="str">
        <f>IF(I35&gt;=90,"امتياز",IF(I35&gt;=80,"جيدجدا",IF(I35&gt;=70,"جيد",IF(I35&gt;=60,"متوسط ",IF(I35&gt;=50,"مقبول","ضعيف")))))</f>
        <v>جيد</v>
      </c>
      <c r="N35" s="7">
        <v>8</v>
      </c>
      <c r="O35" s="7" t="s">
        <v>6</v>
      </c>
      <c r="P35" s="7">
        <v>25</v>
      </c>
      <c r="Q35" s="7">
        <v>35</v>
      </c>
      <c r="R35" s="17">
        <v>71.430000000000007</v>
      </c>
      <c r="S35" s="17"/>
      <c r="T35" s="17"/>
      <c r="U35" s="17"/>
    </row>
    <row r="36" spans="1:21" ht="24" customHeight="1" thickBot="1" x14ac:dyDescent="0.3">
      <c r="A36" s="6">
        <v>35</v>
      </c>
      <c r="B36" s="13" t="s">
        <v>128</v>
      </c>
      <c r="C36" s="15" t="s">
        <v>394</v>
      </c>
      <c r="D36" s="8" t="s">
        <v>154</v>
      </c>
      <c r="E36" s="9">
        <v>59</v>
      </c>
      <c r="F36" s="9">
        <v>8</v>
      </c>
      <c r="G36" s="9">
        <f>F36+E36</f>
        <v>67</v>
      </c>
      <c r="H36" s="9">
        <v>0</v>
      </c>
      <c r="I36" s="9">
        <f>H36+G36</f>
        <v>67</v>
      </c>
      <c r="J36" s="10" t="s">
        <v>358</v>
      </c>
      <c r="K36" s="10" t="s">
        <v>717</v>
      </c>
      <c r="L36" s="11" t="str">
        <f>IF(I36&gt;=50,"ناجح","راسب")</f>
        <v>ناجح</v>
      </c>
      <c r="M36" s="11" t="str">
        <f>IF(I36&gt;=90,"امتياز",IF(I36&gt;=80,"جيدجدا",IF(I36&gt;=70,"جيد",IF(I36&gt;=60,"متوسط ",IF(I36&gt;=50,"مقبول","ضعيف")))))</f>
        <v xml:space="preserve">متوسط </v>
      </c>
      <c r="N36" s="7">
        <v>11</v>
      </c>
      <c r="O36" s="7" t="s">
        <v>6</v>
      </c>
      <c r="P36" s="7">
        <v>25</v>
      </c>
      <c r="Q36" s="7">
        <v>35</v>
      </c>
      <c r="R36" s="17">
        <v>71.430000000000007</v>
      </c>
      <c r="S36" s="17"/>
      <c r="T36" s="17"/>
      <c r="U36" s="17"/>
    </row>
    <row r="37" spans="1:21" ht="24" customHeight="1" thickBot="1" x14ac:dyDescent="0.3">
      <c r="A37" s="6">
        <v>36</v>
      </c>
      <c r="B37" s="13" t="s">
        <v>129</v>
      </c>
      <c r="C37" s="15" t="s">
        <v>395</v>
      </c>
      <c r="D37" s="8" t="s">
        <v>154</v>
      </c>
      <c r="E37" s="9">
        <v>64</v>
      </c>
      <c r="F37" s="9">
        <v>3</v>
      </c>
      <c r="G37" s="9">
        <f>F37+E37</f>
        <v>67</v>
      </c>
      <c r="H37" s="9">
        <v>0</v>
      </c>
      <c r="I37" s="9">
        <f>H37+G37</f>
        <v>67</v>
      </c>
      <c r="J37" s="10" t="s">
        <v>358</v>
      </c>
      <c r="K37" s="10" t="s">
        <v>717</v>
      </c>
      <c r="L37" s="11" t="str">
        <f>IF(I37&gt;=50,"ناجح","راسب")</f>
        <v>ناجح</v>
      </c>
      <c r="M37" s="11" t="str">
        <f>IF(I37&gt;=90,"امتياز",IF(I37&gt;=80,"جيدجدا",IF(I37&gt;=70,"جيد",IF(I37&gt;=60,"متوسط ",IF(I37&gt;=50,"مقبول","ضعيف")))))</f>
        <v xml:space="preserve">متوسط </v>
      </c>
      <c r="N37" s="7">
        <v>12</v>
      </c>
      <c r="O37" s="7" t="s">
        <v>6</v>
      </c>
      <c r="P37" s="7">
        <v>25</v>
      </c>
      <c r="Q37" s="7">
        <v>35</v>
      </c>
      <c r="R37" s="17">
        <v>71.430000000000007</v>
      </c>
      <c r="S37" s="17"/>
      <c r="T37" s="17"/>
      <c r="U37" s="17"/>
    </row>
    <row r="38" spans="1:21" ht="24" customHeight="1" thickBot="1" x14ac:dyDescent="0.3">
      <c r="A38" s="6">
        <v>37</v>
      </c>
      <c r="B38" s="13" t="s">
        <v>130</v>
      </c>
      <c r="C38" s="15" t="s">
        <v>396</v>
      </c>
      <c r="D38" s="8" t="s">
        <v>154</v>
      </c>
      <c r="E38" s="9">
        <v>59</v>
      </c>
      <c r="F38" s="9">
        <v>0</v>
      </c>
      <c r="G38" s="9">
        <f>F38+E38</f>
        <v>59</v>
      </c>
      <c r="H38" s="9">
        <v>0</v>
      </c>
      <c r="I38" s="9">
        <f>H38+G38</f>
        <v>59</v>
      </c>
      <c r="J38" s="10" t="s">
        <v>358</v>
      </c>
      <c r="K38" s="10" t="s">
        <v>717</v>
      </c>
      <c r="L38" s="11" t="str">
        <f>IF(I38&gt;=50,"ناجح","راسب")</f>
        <v>ناجح</v>
      </c>
      <c r="M38" s="11" t="str">
        <f>IF(I38&gt;=90,"امتياز",IF(I38&gt;=80,"جيدجدا",IF(I38&gt;=70,"جيد",IF(I38&gt;=60,"متوسط ",IF(I38&gt;=50,"مقبول","ضعيف")))))</f>
        <v>مقبول</v>
      </c>
      <c r="N38" s="7">
        <v>15</v>
      </c>
      <c r="O38" s="7" t="s">
        <v>6</v>
      </c>
      <c r="P38" s="7">
        <v>25</v>
      </c>
      <c r="Q38" s="7">
        <v>35</v>
      </c>
      <c r="R38" s="17">
        <v>71.430000000000007</v>
      </c>
      <c r="S38" s="17"/>
      <c r="T38" s="17"/>
      <c r="U38" s="17"/>
    </row>
    <row r="39" spans="1:21" ht="24" customHeight="1" thickBot="1" x14ac:dyDescent="0.3">
      <c r="A39" s="6">
        <v>38</v>
      </c>
      <c r="B39" s="13" t="s">
        <v>131</v>
      </c>
      <c r="C39" s="15" t="s">
        <v>397</v>
      </c>
      <c r="D39" s="8" t="s">
        <v>154</v>
      </c>
      <c r="E39" s="9">
        <v>57</v>
      </c>
      <c r="F39" s="9">
        <v>20</v>
      </c>
      <c r="G39" s="9">
        <f>F39+E39</f>
        <v>77</v>
      </c>
      <c r="H39" s="9">
        <v>0</v>
      </c>
      <c r="I39" s="9">
        <f>H39+G39</f>
        <v>77</v>
      </c>
      <c r="J39" s="10" t="s">
        <v>358</v>
      </c>
      <c r="K39" s="10" t="s">
        <v>717</v>
      </c>
      <c r="L39" s="11" t="str">
        <f>IF(I39&gt;=50,"ناجح","راسب")</f>
        <v>ناجح</v>
      </c>
      <c r="M39" s="11" t="str">
        <f>IF(I39&gt;=90,"امتياز",IF(I39&gt;=80,"جيدجدا",IF(I39&gt;=70,"جيد",IF(I39&gt;=60,"متوسط ",IF(I39&gt;=50,"مقبول","ضعيف")))))</f>
        <v>جيد</v>
      </c>
      <c r="N39" s="7">
        <v>7</v>
      </c>
      <c r="O39" s="7" t="s">
        <v>6</v>
      </c>
      <c r="P39" s="7">
        <v>25</v>
      </c>
      <c r="Q39" s="7">
        <v>35</v>
      </c>
      <c r="R39" s="17">
        <v>71.430000000000007</v>
      </c>
      <c r="S39" s="17"/>
      <c r="T39" s="17"/>
      <c r="U39" s="17"/>
    </row>
    <row r="40" spans="1:21" ht="24" customHeight="1" thickBot="1" x14ac:dyDescent="0.3">
      <c r="A40" s="6">
        <v>39</v>
      </c>
      <c r="B40" s="13" t="s">
        <v>132</v>
      </c>
      <c r="C40" s="15" t="s">
        <v>398</v>
      </c>
      <c r="D40" s="8" t="s">
        <v>154</v>
      </c>
      <c r="E40" s="9">
        <v>73</v>
      </c>
      <c r="F40" s="9">
        <v>20</v>
      </c>
      <c r="G40" s="9">
        <f>F40+E40</f>
        <v>93</v>
      </c>
      <c r="H40" s="9">
        <v>0</v>
      </c>
      <c r="I40" s="9">
        <f>H40+G40</f>
        <v>93</v>
      </c>
      <c r="J40" s="10" t="s">
        <v>358</v>
      </c>
      <c r="K40" s="10" t="s">
        <v>717</v>
      </c>
      <c r="L40" s="11" t="str">
        <f>IF(I40&gt;=50,"ناجح","راسب")</f>
        <v>ناجح</v>
      </c>
      <c r="M40" s="11" t="str">
        <f>IF(I40&gt;=90,"امتياز",IF(I40&gt;=80,"جيدجدا",IF(I40&gt;=70,"جيد",IF(I40&gt;=60,"متوسط ",IF(I40&gt;=50,"مقبول","ضعيف")))))</f>
        <v>امتياز</v>
      </c>
      <c r="N40" s="7">
        <v>1</v>
      </c>
      <c r="O40" s="7" t="s">
        <v>6</v>
      </c>
      <c r="P40" s="7">
        <v>25</v>
      </c>
      <c r="Q40" s="7">
        <v>35</v>
      </c>
      <c r="R40" s="17">
        <v>71.430000000000007</v>
      </c>
      <c r="S40" s="17"/>
      <c r="T40" s="17"/>
      <c r="U40" s="17"/>
    </row>
    <row r="41" spans="1:21" ht="24" customHeight="1" thickBot="1" x14ac:dyDescent="0.3">
      <c r="A41" s="6">
        <v>40</v>
      </c>
      <c r="B41" s="13" t="s">
        <v>133</v>
      </c>
      <c r="C41" s="15" t="s">
        <v>399</v>
      </c>
      <c r="D41" s="8" t="s">
        <v>154</v>
      </c>
      <c r="E41" s="9">
        <v>55</v>
      </c>
      <c r="F41" s="9">
        <v>5</v>
      </c>
      <c r="G41" s="9">
        <f>F41+E41</f>
        <v>60</v>
      </c>
      <c r="H41" s="9">
        <v>0</v>
      </c>
      <c r="I41" s="9">
        <f>H41+G41</f>
        <v>60</v>
      </c>
      <c r="J41" s="10" t="s">
        <v>358</v>
      </c>
      <c r="K41" s="10" t="s">
        <v>717</v>
      </c>
      <c r="L41" s="11" t="str">
        <f>IF(I41&gt;=50,"ناجح","راسب")</f>
        <v>ناجح</v>
      </c>
      <c r="M41" s="11" t="str">
        <f>IF(I41&gt;=90,"امتياز",IF(I41&gt;=80,"جيدجدا",IF(I41&gt;=70,"جيد",IF(I41&gt;=60,"متوسط ",IF(I41&gt;=50,"مقبول","ضعيف")))))</f>
        <v xml:space="preserve">متوسط </v>
      </c>
      <c r="N41" s="7">
        <v>14</v>
      </c>
      <c r="O41" s="7" t="s">
        <v>6</v>
      </c>
      <c r="P41" s="7">
        <v>25</v>
      </c>
      <c r="Q41" s="7">
        <v>35</v>
      </c>
      <c r="R41" s="17">
        <v>71.430000000000007</v>
      </c>
      <c r="S41" s="17"/>
      <c r="T41" s="17"/>
      <c r="U41" s="17"/>
    </row>
    <row r="42" spans="1:21" ht="24" customHeight="1" thickBot="1" x14ac:dyDescent="0.3">
      <c r="A42" s="6">
        <v>41</v>
      </c>
      <c r="B42" s="13" t="s">
        <v>134</v>
      </c>
      <c r="C42" s="15" t="s">
        <v>400</v>
      </c>
      <c r="D42" s="8" t="s">
        <v>154</v>
      </c>
      <c r="E42" s="9">
        <v>36</v>
      </c>
      <c r="F42" s="9">
        <v>0</v>
      </c>
      <c r="G42" s="9">
        <f>F42+E42</f>
        <v>36</v>
      </c>
      <c r="H42" s="9">
        <v>0</v>
      </c>
      <c r="I42" s="9">
        <f>H42+G42</f>
        <v>36</v>
      </c>
      <c r="J42" s="10" t="s">
        <v>358</v>
      </c>
      <c r="K42" s="10" t="s">
        <v>717</v>
      </c>
      <c r="L42" s="11" t="str">
        <f>IF(I42&gt;=50,"ناجح","راسب")</f>
        <v>راسب</v>
      </c>
      <c r="M42" s="11" t="str">
        <f>IF(I42&gt;=90,"امتياز",IF(I42&gt;=80,"جيدجدا",IF(I42&gt;=70,"جيد",IF(I42&gt;=60,"متوسط ",IF(I42&gt;=50,"مقبول","ضعيف")))))</f>
        <v>ضعيف</v>
      </c>
      <c r="N42" s="7"/>
      <c r="O42" s="7"/>
      <c r="P42" s="7">
        <v>25</v>
      </c>
      <c r="Q42" s="7">
        <v>35</v>
      </c>
      <c r="R42" s="17">
        <v>71.430000000000007</v>
      </c>
      <c r="S42" s="17"/>
      <c r="T42" s="17"/>
      <c r="U42" s="17"/>
    </row>
    <row r="43" spans="1:21" ht="24" customHeight="1" thickBot="1" x14ac:dyDescent="0.3">
      <c r="A43" s="6">
        <v>42</v>
      </c>
      <c r="B43" s="13" t="s">
        <v>135</v>
      </c>
      <c r="C43" s="15" t="s">
        <v>401</v>
      </c>
      <c r="D43" s="8" t="s">
        <v>154</v>
      </c>
      <c r="E43" s="9">
        <v>66</v>
      </c>
      <c r="F43" s="9">
        <v>20</v>
      </c>
      <c r="G43" s="9">
        <f>F43+E43</f>
        <v>86</v>
      </c>
      <c r="H43" s="9">
        <v>0</v>
      </c>
      <c r="I43" s="9">
        <f>H43+G43</f>
        <v>86</v>
      </c>
      <c r="J43" s="10" t="s">
        <v>358</v>
      </c>
      <c r="K43" s="10" t="s">
        <v>717</v>
      </c>
      <c r="L43" s="11" t="str">
        <f>IF(I43&gt;=50,"ناجح","راسب")</f>
        <v>ناجح</v>
      </c>
      <c r="M43" s="11" t="str">
        <f>IF(I43&gt;=90,"امتياز",IF(I43&gt;=80,"جيدجدا",IF(I43&gt;=70,"جيد",IF(I43&gt;=60,"متوسط ",IF(I43&gt;=50,"مقبول","ضعيف")))))</f>
        <v>جيدجدا</v>
      </c>
      <c r="N43" s="7">
        <v>3</v>
      </c>
      <c r="O43" s="7" t="s">
        <v>6</v>
      </c>
      <c r="P43" s="7">
        <v>25</v>
      </c>
      <c r="Q43" s="7">
        <v>35</v>
      </c>
      <c r="R43" s="17">
        <v>71.430000000000007</v>
      </c>
      <c r="S43" s="17"/>
      <c r="T43" s="17"/>
      <c r="U43" s="17"/>
    </row>
    <row r="44" spans="1:21" ht="24" customHeight="1" thickBot="1" x14ac:dyDescent="0.3">
      <c r="A44" s="6">
        <v>43</v>
      </c>
      <c r="B44" s="13" t="s">
        <v>136</v>
      </c>
      <c r="C44" s="15" t="s">
        <v>402</v>
      </c>
      <c r="D44" s="8" t="s">
        <v>154</v>
      </c>
      <c r="E44" s="9">
        <v>48</v>
      </c>
      <c r="F44" s="9">
        <v>6</v>
      </c>
      <c r="G44" s="9">
        <f>F44+E44</f>
        <v>54</v>
      </c>
      <c r="H44" s="9">
        <v>0</v>
      </c>
      <c r="I44" s="9">
        <f>H44+G44</f>
        <v>54</v>
      </c>
      <c r="J44" s="10" t="s">
        <v>358</v>
      </c>
      <c r="K44" s="10" t="s">
        <v>717</v>
      </c>
      <c r="L44" s="11" t="str">
        <f>IF(I44&gt;=50,"ناجح","راسب")</f>
        <v>ناجح</v>
      </c>
      <c r="M44" s="11" t="str">
        <f>IF(I44&gt;=90,"امتياز",IF(I44&gt;=80,"جيدجدا",IF(I44&gt;=70,"جيد",IF(I44&gt;=60,"متوسط ",IF(I44&gt;=50,"مقبول","ضعيف")))))</f>
        <v>مقبول</v>
      </c>
      <c r="N44" s="7">
        <v>17</v>
      </c>
      <c r="O44" s="7" t="s">
        <v>6</v>
      </c>
      <c r="P44" s="7">
        <v>25</v>
      </c>
      <c r="Q44" s="7">
        <v>35</v>
      </c>
      <c r="R44" s="17">
        <v>71.430000000000007</v>
      </c>
      <c r="S44" s="17"/>
      <c r="T44" s="17"/>
      <c r="U44" s="17"/>
    </row>
    <row r="45" spans="1:21" ht="24" customHeight="1" thickBot="1" x14ac:dyDescent="0.3">
      <c r="A45" s="6">
        <v>44</v>
      </c>
      <c r="B45" s="13" t="s">
        <v>137</v>
      </c>
      <c r="C45" s="15" t="s">
        <v>403</v>
      </c>
      <c r="D45" s="8" t="s">
        <v>154</v>
      </c>
      <c r="E45" s="9">
        <v>59</v>
      </c>
      <c r="F45" s="9">
        <v>20</v>
      </c>
      <c r="G45" s="9">
        <f>F45+E45</f>
        <v>79</v>
      </c>
      <c r="H45" s="9">
        <v>0</v>
      </c>
      <c r="I45" s="9">
        <f>H45+G45</f>
        <v>79</v>
      </c>
      <c r="J45" s="10" t="s">
        <v>358</v>
      </c>
      <c r="K45" s="10" t="s">
        <v>717</v>
      </c>
      <c r="L45" s="11" t="str">
        <f>IF(I45&gt;=50,"ناجح","راسب")</f>
        <v>ناجح</v>
      </c>
      <c r="M45" s="11" t="str">
        <f>IF(I45&gt;=90,"امتياز",IF(I45&gt;=80,"جيدجدا",IF(I45&gt;=70,"جيد",IF(I45&gt;=60,"متوسط ",IF(I45&gt;=50,"مقبول","ضعيف")))))</f>
        <v>جيد</v>
      </c>
      <c r="N45" s="7">
        <v>5</v>
      </c>
      <c r="O45" s="7" t="s">
        <v>6</v>
      </c>
      <c r="P45" s="7">
        <v>25</v>
      </c>
      <c r="Q45" s="7">
        <v>35</v>
      </c>
      <c r="R45" s="17">
        <v>71.430000000000007</v>
      </c>
      <c r="S45" s="17"/>
      <c r="T45" s="17"/>
      <c r="U45" s="17"/>
    </row>
    <row r="46" spans="1:21" ht="24" customHeight="1" thickBot="1" x14ac:dyDescent="0.3">
      <c r="A46" s="6">
        <v>45</v>
      </c>
      <c r="B46" s="13" t="s">
        <v>138</v>
      </c>
      <c r="C46" s="15" t="s">
        <v>404</v>
      </c>
      <c r="D46" s="8" t="s">
        <v>154</v>
      </c>
      <c r="E46" s="9">
        <v>48</v>
      </c>
      <c r="F46" s="9">
        <v>0</v>
      </c>
      <c r="G46" s="9">
        <f>F46+E46</f>
        <v>48</v>
      </c>
      <c r="H46" s="9">
        <v>0</v>
      </c>
      <c r="I46" s="9">
        <f>H46+G46</f>
        <v>48</v>
      </c>
      <c r="J46" s="10" t="s">
        <v>358</v>
      </c>
      <c r="K46" s="10" t="s">
        <v>717</v>
      </c>
      <c r="L46" s="11" t="str">
        <f>IF(I46&gt;=50,"ناجح","راسب")</f>
        <v>راسب</v>
      </c>
      <c r="M46" s="11" t="str">
        <f>IF(I46&gt;=90,"امتياز",IF(I46&gt;=80,"جيدجدا",IF(I46&gt;=70,"جيد",IF(I46&gt;=60,"متوسط ",IF(I46&gt;=50,"مقبول","ضعيف")))))</f>
        <v>ضعيف</v>
      </c>
      <c r="N46" s="7"/>
      <c r="O46" s="7"/>
      <c r="P46" s="7">
        <v>25</v>
      </c>
      <c r="Q46" s="7">
        <v>35</v>
      </c>
      <c r="R46" s="17">
        <v>71.430000000000007</v>
      </c>
      <c r="S46" s="17"/>
      <c r="T46" s="17"/>
      <c r="U46" s="17"/>
    </row>
    <row r="47" spans="1:21" ht="24" customHeight="1" thickBot="1" x14ac:dyDescent="0.3">
      <c r="A47" s="6">
        <v>46</v>
      </c>
      <c r="B47" s="13" t="s">
        <v>139</v>
      </c>
      <c r="C47" s="15" t="s">
        <v>405</v>
      </c>
      <c r="D47" s="8" t="s">
        <v>154</v>
      </c>
      <c r="E47" s="9">
        <v>30</v>
      </c>
      <c r="F47" s="9">
        <v>0</v>
      </c>
      <c r="G47" s="9">
        <f>F47+E47</f>
        <v>30</v>
      </c>
      <c r="H47" s="9">
        <v>0</v>
      </c>
      <c r="I47" s="9">
        <f>H47+G47</f>
        <v>30</v>
      </c>
      <c r="J47" s="10" t="s">
        <v>358</v>
      </c>
      <c r="K47" s="10" t="s">
        <v>717</v>
      </c>
      <c r="L47" s="11" t="str">
        <f>IF(I47&gt;=50,"ناجح","راسب")</f>
        <v>راسب</v>
      </c>
      <c r="M47" s="11" t="str">
        <f>IF(I47&gt;=90,"امتياز",IF(I47&gt;=80,"جيدجدا",IF(I47&gt;=70,"جيد",IF(I47&gt;=60,"متوسط ",IF(I47&gt;=50,"مقبول","ضعيف")))))</f>
        <v>ضعيف</v>
      </c>
      <c r="N47" s="7"/>
      <c r="O47" s="7"/>
      <c r="P47" s="7">
        <v>25</v>
      </c>
      <c r="Q47" s="7">
        <v>35</v>
      </c>
      <c r="R47" s="17">
        <v>71.430000000000007</v>
      </c>
      <c r="S47" s="17"/>
      <c r="T47" s="17"/>
      <c r="U47" s="17"/>
    </row>
    <row r="48" spans="1:21" ht="24" customHeight="1" thickBot="1" x14ac:dyDescent="0.3">
      <c r="A48" s="6">
        <v>47</v>
      </c>
      <c r="B48" s="13" t="s">
        <v>140</v>
      </c>
      <c r="C48" s="15" t="s">
        <v>406</v>
      </c>
      <c r="D48" s="8" t="s">
        <v>154</v>
      </c>
      <c r="E48" s="9">
        <v>0</v>
      </c>
      <c r="F48" s="9">
        <v>0</v>
      </c>
      <c r="G48" s="9">
        <f>F48+E48</f>
        <v>0</v>
      </c>
      <c r="H48" s="9">
        <v>0</v>
      </c>
      <c r="I48" s="9">
        <f>H48+G48</f>
        <v>0</v>
      </c>
      <c r="J48" s="10" t="s">
        <v>358</v>
      </c>
      <c r="K48" s="10" t="s">
        <v>717</v>
      </c>
      <c r="L48" s="11" t="str">
        <f>IF(I48&gt;=50,"ناجح","راسب")</f>
        <v>راسب</v>
      </c>
      <c r="M48" s="11" t="str">
        <f>IF(I48&gt;=90,"امتياز",IF(I48&gt;=80,"جيدجدا",IF(I48&gt;=70,"جيد",IF(I48&gt;=60,"متوسط ",IF(I48&gt;=50,"مقبول","ضعيف")))))</f>
        <v>ضعيف</v>
      </c>
      <c r="N48" s="7"/>
      <c r="O48" s="7"/>
      <c r="P48" s="7">
        <v>25</v>
      </c>
      <c r="Q48" s="7">
        <v>35</v>
      </c>
      <c r="R48" s="17">
        <v>71.430000000000007</v>
      </c>
      <c r="S48" s="17"/>
      <c r="T48" s="17"/>
      <c r="U48" s="17"/>
    </row>
    <row r="49" spans="1:21" ht="24" customHeight="1" thickBot="1" x14ac:dyDescent="0.3">
      <c r="A49" s="6">
        <v>48</v>
      </c>
      <c r="B49" s="13" t="s">
        <v>141</v>
      </c>
      <c r="C49" s="15" t="s">
        <v>407</v>
      </c>
      <c r="D49" s="8" t="s">
        <v>154</v>
      </c>
      <c r="E49" s="9">
        <v>50</v>
      </c>
      <c r="F49" s="9">
        <v>3</v>
      </c>
      <c r="G49" s="9">
        <f>F49+E49</f>
        <v>53</v>
      </c>
      <c r="H49" s="9">
        <v>0</v>
      </c>
      <c r="I49" s="9">
        <f>H49+G49</f>
        <v>53</v>
      </c>
      <c r="J49" s="10" t="s">
        <v>358</v>
      </c>
      <c r="K49" s="10" t="s">
        <v>717</v>
      </c>
      <c r="L49" s="11" t="str">
        <f>IF(I49&gt;=50,"ناجح","راسب")</f>
        <v>ناجح</v>
      </c>
      <c r="M49" s="11" t="str">
        <f>IF(I49&gt;=90,"امتياز",IF(I49&gt;=80,"جيدجدا",IF(I49&gt;=70,"جيد",IF(I49&gt;=60,"متوسط ",IF(I49&gt;=50,"مقبول","ضعيف")))))</f>
        <v>مقبول</v>
      </c>
      <c r="N49" s="7">
        <v>18</v>
      </c>
      <c r="O49" s="7" t="s">
        <v>6</v>
      </c>
      <c r="P49" s="7">
        <v>25</v>
      </c>
      <c r="Q49" s="7">
        <v>35</v>
      </c>
      <c r="R49" s="17">
        <v>71.430000000000007</v>
      </c>
      <c r="S49" s="17"/>
      <c r="T49" s="17"/>
      <c r="U49" s="17"/>
    </row>
    <row r="50" spans="1:21" ht="24" customHeight="1" thickBot="1" x14ac:dyDescent="0.3">
      <c r="A50" s="6">
        <v>49</v>
      </c>
      <c r="B50" s="13" t="s">
        <v>142</v>
      </c>
      <c r="C50" s="15" t="s">
        <v>408</v>
      </c>
      <c r="D50" s="8" t="s">
        <v>154</v>
      </c>
      <c r="E50" s="9">
        <v>0</v>
      </c>
      <c r="F50" s="9">
        <v>0</v>
      </c>
      <c r="G50" s="9">
        <f>F50+E50</f>
        <v>0</v>
      </c>
      <c r="H50" s="9">
        <v>0</v>
      </c>
      <c r="I50" s="9">
        <f>H50+G50</f>
        <v>0</v>
      </c>
      <c r="J50" s="10" t="s">
        <v>358</v>
      </c>
      <c r="K50" s="10" t="s">
        <v>717</v>
      </c>
      <c r="L50" s="11" t="str">
        <f>IF(I50&gt;=50,"ناجح","راسب")</f>
        <v>راسب</v>
      </c>
      <c r="M50" s="11" t="str">
        <f>IF(I50&gt;=90,"امتياز",IF(I50&gt;=80,"جيدجدا",IF(I50&gt;=70,"جيد",IF(I50&gt;=60,"متوسط ",IF(I50&gt;=50,"مقبول","ضعيف")))))</f>
        <v>ضعيف</v>
      </c>
      <c r="N50" s="7"/>
      <c r="O50" s="7"/>
      <c r="P50" s="7">
        <v>25</v>
      </c>
      <c r="Q50" s="7">
        <v>35</v>
      </c>
      <c r="R50" s="17">
        <v>71.430000000000007</v>
      </c>
      <c r="S50" s="17"/>
      <c r="T50" s="17"/>
      <c r="U50" s="17"/>
    </row>
    <row r="51" spans="1:21" ht="24" customHeight="1" thickBot="1" x14ac:dyDescent="0.3">
      <c r="A51" s="6">
        <v>50</v>
      </c>
      <c r="B51" s="13" t="s">
        <v>143</v>
      </c>
      <c r="C51" s="15" t="s">
        <v>409</v>
      </c>
      <c r="D51" s="8" t="s">
        <v>154</v>
      </c>
      <c r="E51" s="9">
        <v>69</v>
      </c>
      <c r="F51" s="9">
        <v>2</v>
      </c>
      <c r="G51" s="9">
        <f>F51+E51</f>
        <v>71</v>
      </c>
      <c r="H51" s="9">
        <v>0</v>
      </c>
      <c r="I51" s="9">
        <f>H51+G51</f>
        <v>71</v>
      </c>
      <c r="J51" s="10" t="s">
        <v>358</v>
      </c>
      <c r="K51" s="10" t="s">
        <v>717</v>
      </c>
      <c r="L51" s="11" t="str">
        <f>IF(I51&gt;=50,"ناجح","راسب")</f>
        <v>ناجح</v>
      </c>
      <c r="M51" s="11" t="str">
        <f>IF(I51&gt;=90,"امتياز",IF(I51&gt;=80,"جيدجدا",IF(I51&gt;=70,"جيد",IF(I51&gt;=60,"متوسط ",IF(I51&gt;=50,"مقبول","ضعيف")))))</f>
        <v>جيد</v>
      </c>
      <c r="N51" s="7">
        <v>10</v>
      </c>
      <c r="O51" s="7" t="s">
        <v>6</v>
      </c>
      <c r="P51" s="7">
        <v>25</v>
      </c>
      <c r="Q51" s="7">
        <v>35</v>
      </c>
      <c r="R51" s="17">
        <v>71.430000000000007</v>
      </c>
      <c r="S51" s="17"/>
      <c r="T51" s="17"/>
      <c r="U51" s="17"/>
    </row>
    <row r="52" spans="1:21" ht="24" customHeight="1" thickBot="1" x14ac:dyDescent="0.3">
      <c r="A52" s="6">
        <v>51</v>
      </c>
      <c r="B52" s="13" t="s">
        <v>144</v>
      </c>
      <c r="C52" s="15" t="s">
        <v>410</v>
      </c>
      <c r="D52" s="8" t="s">
        <v>154</v>
      </c>
      <c r="E52" s="9">
        <v>73</v>
      </c>
      <c r="F52" s="9">
        <v>5</v>
      </c>
      <c r="G52" s="9">
        <f>F52+E52</f>
        <v>78</v>
      </c>
      <c r="H52" s="9">
        <v>0</v>
      </c>
      <c r="I52" s="9">
        <f>H52+G52</f>
        <v>78</v>
      </c>
      <c r="J52" s="10" t="s">
        <v>358</v>
      </c>
      <c r="K52" s="10" t="s">
        <v>717</v>
      </c>
      <c r="L52" s="11" t="str">
        <f>IF(I52&gt;=50,"ناجح","راسب")</f>
        <v>ناجح</v>
      </c>
      <c r="M52" s="11" t="str">
        <f>IF(I52&gt;=90,"امتياز",IF(I52&gt;=80,"جيدجدا",IF(I52&gt;=70,"جيد",IF(I52&gt;=60,"متوسط ",IF(I52&gt;=50,"مقبول","ضعيف")))))</f>
        <v>جيد</v>
      </c>
      <c r="N52" s="7">
        <v>6</v>
      </c>
      <c r="O52" s="7" t="s">
        <v>6</v>
      </c>
      <c r="P52" s="7">
        <v>25</v>
      </c>
      <c r="Q52" s="7">
        <v>35</v>
      </c>
      <c r="R52" s="17">
        <v>71.430000000000007</v>
      </c>
      <c r="S52" s="17"/>
      <c r="T52" s="17"/>
      <c r="U52" s="17"/>
    </row>
    <row r="53" spans="1:21" ht="24" customHeight="1" thickBot="1" x14ac:dyDescent="0.3">
      <c r="A53" s="6">
        <v>52</v>
      </c>
      <c r="B53" s="13" t="s">
        <v>145</v>
      </c>
      <c r="C53" s="15" t="s">
        <v>411</v>
      </c>
      <c r="D53" s="8" t="s">
        <v>154</v>
      </c>
      <c r="E53" s="9">
        <v>46</v>
      </c>
      <c r="F53" s="9">
        <v>0</v>
      </c>
      <c r="G53" s="9">
        <f>F53+E53</f>
        <v>46</v>
      </c>
      <c r="H53" s="9">
        <v>0</v>
      </c>
      <c r="I53" s="9">
        <f>H53+G53</f>
        <v>46</v>
      </c>
      <c r="J53" s="10" t="s">
        <v>358</v>
      </c>
      <c r="K53" s="10" t="s">
        <v>717</v>
      </c>
      <c r="L53" s="11" t="str">
        <f>IF(I53&gt;=50,"ناجح","راسب")</f>
        <v>راسب</v>
      </c>
      <c r="M53" s="11" t="str">
        <f>IF(I53&gt;=90,"امتياز",IF(I53&gt;=80,"جيدجدا",IF(I53&gt;=70,"جيد",IF(I53&gt;=60,"متوسط ",IF(I53&gt;=50,"مقبول","ضعيف")))))</f>
        <v>ضعيف</v>
      </c>
      <c r="N53" s="7"/>
      <c r="O53" s="7"/>
      <c r="P53" s="7">
        <v>25</v>
      </c>
      <c r="Q53" s="7">
        <v>35</v>
      </c>
      <c r="R53" s="17">
        <v>71.430000000000007</v>
      </c>
      <c r="S53" s="17"/>
      <c r="T53" s="17"/>
      <c r="U53" s="17"/>
    </row>
    <row r="54" spans="1:21" ht="24" customHeight="1" thickBot="1" x14ac:dyDescent="0.3">
      <c r="A54" s="6">
        <v>53</v>
      </c>
      <c r="B54" s="13" t="s">
        <v>146</v>
      </c>
      <c r="C54" s="15" t="s">
        <v>412</v>
      </c>
      <c r="D54" s="8" t="s">
        <v>154</v>
      </c>
      <c r="E54" s="9">
        <v>57</v>
      </c>
      <c r="F54" s="9">
        <v>10</v>
      </c>
      <c r="G54" s="9">
        <f>F54+E54</f>
        <v>67</v>
      </c>
      <c r="H54" s="9">
        <v>0</v>
      </c>
      <c r="I54" s="9">
        <f>H54+G54</f>
        <v>67</v>
      </c>
      <c r="J54" s="10" t="s">
        <v>358</v>
      </c>
      <c r="K54" s="10" t="s">
        <v>717</v>
      </c>
      <c r="L54" s="11" t="str">
        <f>IF(I54&gt;=50,"ناجح","راسب")</f>
        <v>ناجح</v>
      </c>
      <c r="M54" s="11" t="str">
        <f>IF(I54&gt;=90,"امتياز",IF(I54&gt;=80,"جيدجدا",IF(I54&gt;=70,"جيد",IF(I54&gt;=60,"متوسط ",IF(I54&gt;=50,"مقبول","ضعيف")))))</f>
        <v xml:space="preserve">متوسط </v>
      </c>
      <c r="N54" s="7">
        <v>12</v>
      </c>
      <c r="O54" s="7" t="s">
        <v>6</v>
      </c>
      <c r="P54" s="7">
        <v>25</v>
      </c>
      <c r="Q54" s="7">
        <v>35</v>
      </c>
      <c r="R54" s="17">
        <v>71.430000000000007</v>
      </c>
      <c r="S54" s="17"/>
      <c r="T54" s="17"/>
      <c r="U54" s="17"/>
    </row>
    <row r="55" spans="1:21" ht="24" customHeight="1" thickBot="1" x14ac:dyDescent="0.3">
      <c r="A55" s="6">
        <v>54</v>
      </c>
      <c r="B55" s="13" t="s">
        <v>147</v>
      </c>
      <c r="C55" s="15" t="s">
        <v>413</v>
      </c>
      <c r="D55" s="8" t="s">
        <v>154</v>
      </c>
      <c r="E55" s="9">
        <v>57</v>
      </c>
      <c r="F55" s="9">
        <v>0</v>
      </c>
      <c r="G55" s="9">
        <f>F55+E55</f>
        <v>57</v>
      </c>
      <c r="H55" s="9">
        <v>0</v>
      </c>
      <c r="I55" s="9">
        <f>H55+G55</f>
        <v>57</v>
      </c>
      <c r="J55" s="10" t="s">
        <v>358</v>
      </c>
      <c r="K55" s="10" t="s">
        <v>717</v>
      </c>
      <c r="L55" s="11" t="str">
        <f>IF(I55&gt;=50,"ناجح","راسب")</f>
        <v>ناجح</v>
      </c>
      <c r="M55" s="11" t="str">
        <f>IF(I55&gt;=90,"امتياز",IF(I55&gt;=80,"جيدجدا",IF(I55&gt;=70,"جيد",IF(I55&gt;=60,"متوسط ",IF(I55&gt;=50,"مقبول","ضعيف")))))</f>
        <v>مقبول</v>
      </c>
      <c r="N55" s="7">
        <v>16</v>
      </c>
      <c r="O55" s="7" t="s">
        <v>6</v>
      </c>
      <c r="P55" s="7">
        <v>25</v>
      </c>
      <c r="Q55" s="7">
        <v>35</v>
      </c>
      <c r="R55" s="17">
        <v>71.430000000000007</v>
      </c>
      <c r="S55" s="17"/>
      <c r="T55" s="17"/>
      <c r="U55" s="17"/>
    </row>
    <row r="56" spans="1:21" ht="24" customHeight="1" thickBot="1" x14ac:dyDescent="0.3">
      <c r="A56" s="6">
        <v>55</v>
      </c>
      <c r="B56" s="13" t="s">
        <v>148</v>
      </c>
      <c r="C56" s="15" t="s">
        <v>414</v>
      </c>
      <c r="D56" s="8" t="s">
        <v>154</v>
      </c>
      <c r="E56" s="9">
        <v>44</v>
      </c>
      <c r="F56" s="9">
        <v>15</v>
      </c>
      <c r="G56" s="9">
        <f>F56+E56</f>
        <v>59</v>
      </c>
      <c r="H56" s="9">
        <v>0</v>
      </c>
      <c r="I56" s="9">
        <f>H56+G56</f>
        <v>59</v>
      </c>
      <c r="J56" s="10" t="s">
        <v>358</v>
      </c>
      <c r="K56" s="10" t="s">
        <v>717</v>
      </c>
      <c r="L56" s="11" t="str">
        <f>IF(I56&gt;=50,"ناجح","راسب")</f>
        <v>ناجح</v>
      </c>
      <c r="M56" s="11" t="str">
        <f>IF(I56&gt;=90,"امتياز",IF(I56&gt;=80,"جيدجدا",IF(I56&gt;=70,"جيد",IF(I56&gt;=60,"متوسط ",IF(I56&gt;=50,"مقبول","ضعيف")))))</f>
        <v>مقبول</v>
      </c>
      <c r="N56" s="7">
        <v>15</v>
      </c>
      <c r="O56" s="7" t="s">
        <v>6</v>
      </c>
      <c r="P56" s="7">
        <v>25</v>
      </c>
      <c r="Q56" s="7">
        <v>35</v>
      </c>
      <c r="R56" s="17">
        <v>71.430000000000007</v>
      </c>
      <c r="S56" s="17"/>
      <c r="T56" s="17"/>
      <c r="U56" s="17"/>
    </row>
    <row r="57" spans="1:21" ht="24" customHeight="1" thickBot="1" x14ac:dyDescent="0.3">
      <c r="A57" s="6">
        <v>56</v>
      </c>
      <c r="B57" s="13" t="s">
        <v>149</v>
      </c>
      <c r="C57" s="15" t="s">
        <v>415</v>
      </c>
      <c r="D57" s="8" t="s">
        <v>154</v>
      </c>
      <c r="E57" s="9">
        <v>59</v>
      </c>
      <c r="F57" s="9">
        <v>0</v>
      </c>
      <c r="G57" s="9">
        <f>F57+E57</f>
        <v>59</v>
      </c>
      <c r="H57" s="9">
        <v>0</v>
      </c>
      <c r="I57" s="9">
        <f>H57+G57</f>
        <v>59</v>
      </c>
      <c r="J57" s="10" t="s">
        <v>358</v>
      </c>
      <c r="K57" s="10" t="s">
        <v>717</v>
      </c>
      <c r="L57" s="11" t="str">
        <f>IF(I57&gt;=50,"ناجح","راسب")</f>
        <v>ناجح</v>
      </c>
      <c r="M57" s="11" t="str">
        <f>IF(I57&gt;=90,"امتياز",IF(I57&gt;=80,"جيدجدا",IF(I57&gt;=70,"جيد",IF(I57&gt;=60,"متوسط ",IF(I57&gt;=50,"مقبول","ضعيف")))))</f>
        <v>مقبول</v>
      </c>
      <c r="N57" s="7">
        <v>15</v>
      </c>
      <c r="O57" s="7" t="s">
        <v>6</v>
      </c>
      <c r="P57" s="7">
        <v>25</v>
      </c>
      <c r="Q57" s="7">
        <v>35</v>
      </c>
      <c r="R57" s="17">
        <v>71.430000000000007</v>
      </c>
      <c r="S57" s="17"/>
      <c r="T57" s="17"/>
      <c r="U57" s="17"/>
    </row>
    <row r="58" spans="1:21" ht="24" customHeight="1" thickBot="1" x14ac:dyDescent="0.3">
      <c r="A58" s="6">
        <v>57</v>
      </c>
      <c r="B58" s="13" t="s">
        <v>150</v>
      </c>
      <c r="C58" s="15" t="s">
        <v>416</v>
      </c>
      <c r="D58" s="8" t="s">
        <v>154</v>
      </c>
      <c r="E58" s="9">
        <v>57</v>
      </c>
      <c r="F58" s="9">
        <v>2</v>
      </c>
      <c r="G58" s="9">
        <f>F58+E58</f>
        <v>59</v>
      </c>
      <c r="H58" s="9">
        <v>0</v>
      </c>
      <c r="I58" s="9">
        <f>H58+G58</f>
        <v>59</v>
      </c>
      <c r="J58" s="10" t="s">
        <v>358</v>
      </c>
      <c r="K58" s="10" t="s">
        <v>717</v>
      </c>
      <c r="L58" s="11" t="str">
        <f>IF(I58&gt;=50,"ناجح","راسب")</f>
        <v>ناجح</v>
      </c>
      <c r="M58" s="11" t="str">
        <f>IF(I58&gt;=90,"امتياز",IF(I58&gt;=80,"جيدجدا",IF(I58&gt;=70,"جيد",IF(I58&gt;=60,"متوسط ",IF(I58&gt;=50,"مقبول","ضعيف")))))</f>
        <v>مقبول</v>
      </c>
      <c r="N58" s="7">
        <v>15</v>
      </c>
      <c r="O58" s="7" t="s">
        <v>6</v>
      </c>
      <c r="P58" s="7">
        <v>25</v>
      </c>
      <c r="Q58" s="7">
        <v>35</v>
      </c>
      <c r="R58" s="17">
        <v>71.430000000000007</v>
      </c>
      <c r="S58" s="17"/>
      <c r="T58" s="17"/>
      <c r="U58" s="17"/>
    </row>
    <row r="59" spans="1:21" ht="24" customHeight="1" thickBot="1" x14ac:dyDescent="0.3">
      <c r="A59" s="6">
        <v>58</v>
      </c>
      <c r="B59" s="13" t="s">
        <v>151</v>
      </c>
      <c r="C59" s="15" t="s">
        <v>417</v>
      </c>
      <c r="D59" s="8" t="s">
        <v>154</v>
      </c>
      <c r="E59" s="9">
        <v>60</v>
      </c>
      <c r="F59" s="9">
        <v>5</v>
      </c>
      <c r="G59" s="9">
        <f>F59+E59</f>
        <v>65</v>
      </c>
      <c r="H59" s="9">
        <v>0</v>
      </c>
      <c r="I59" s="9">
        <f>H59+G59</f>
        <v>65</v>
      </c>
      <c r="J59" s="10" t="s">
        <v>358</v>
      </c>
      <c r="K59" s="10" t="s">
        <v>717</v>
      </c>
      <c r="L59" s="11" t="str">
        <f>IF(I59&gt;=50,"ناجح","راسب")</f>
        <v>ناجح</v>
      </c>
      <c r="M59" s="11" t="str">
        <f>IF(I59&gt;=90,"امتياز",IF(I59&gt;=80,"جيدجدا",IF(I59&gt;=70,"جيد",IF(I59&gt;=60,"متوسط ",IF(I59&gt;=50,"مقبول","ضعيف")))))</f>
        <v xml:space="preserve">متوسط </v>
      </c>
      <c r="N59" s="7">
        <v>13</v>
      </c>
      <c r="O59" s="7" t="s">
        <v>6</v>
      </c>
      <c r="P59" s="7">
        <v>25</v>
      </c>
      <c r="Q59" s="7">
        <v>35</v>
      </c>
      <c r="R59" s="17">
        <v>71.430000000000007</v>
      </c>
      <c r="S59" s="17"/>
      <c r="T59" s="17"/>
      <c r="U59" s="17"/>
    </row>
    <row r="60" spans="1:21" ht="24" customHeight="1" thickBot="1" x14ac:dyDescent="0.3">
      <c r="A60" s="6">
        <v>59</v>
      </c>
      <c r="B60" s="13" t="s">
        <v>152</v>
      </c>
      <c r="C60" s="15" t="s">
        <v>418</v>
      </c>
      <c r="D60" s="8" t="s">
        <v>154</v>
      </c>
      <c r="E60" s="9">
        <v>57</v>
      </c>
      <c r="F60" s="9">
        <v>0</v>
      </c>
      <c r="G60" s="9">
        <f>F60+E60</f>
        <v>57</v>
      </c>
      <c r="H60" s="9">
        <v>0</v>
      </c>
      <c r="I60" s="9">
        <f>H60+G60</f>
        <v>57</v>
      </c>
      <c r="J60" s="10" t="s">
        <v>358</v>
      </c>
      <c r="K60" s="10" t="s">
        <v>717</v>
      </c>
      <c r="L60" s="11" t="str">
        <f>IF(I60&gt;=50,"ناجح","راسب")</f>
        <v>ناجح</v>
      </c>
      <c r="M60" s="11" t="str">
        <f>IF(I60&gt;=90,"امتياز",IF(I60&gt;=80,"جيدجدا",IF(I60&gt;=70,"جيد",IF(I60&gt;=60,"متوسط ",IF(I60&gt;=50,"مقبول","ضعيف")))))</f>
        <v>مقبول</v>
      </c>
      <c r="N60" s="7">
        <v>16</v>
      </c>
      <c r="O60" s="7" t="s">
        <v>6</v>
      </c>
      <c r="P60" s="7">
        <v>25</v>
      </c>
      <c r="Q60" s="7">
        <v>35</v>
      </c>
      <c r="R60" s="17">
        <v>71.430000000000007</v>
      </c>
      <c r="S60" s="17"/>
      <c r="T60" s="17"/>
      <c r="U60" s="17"/>
    </row>
    <row r="61" spans="1:21" ht="24" customHeight="1" thickBot="1" x14ac:dyDescent="0.3">
      <c r="A61" s="6">
        <v>60</v>
      </c>
      <c r="B61" s="13" t="s">
        <v>153</v>
      </c>
      <c r="C61" s="15" t="s">
        <v>419</v>
      </c>
      <c r="D61" s="8" t="s">
        <v>154</v>
      </c>
      <c r="E61" s="9">
        <v>44</v>
      </c>
      <c r="F61" s="9">
        <v>2</v>
      </c>
      <c r="G61" s="9">
        <f>F61+E61</f>
        <v>46</v>
      </c>
      <c r="H61" s="9">
        <v>0</v>
      </c>
      <c r="I61" s="9">
        <f>H61+G61</f>
        <v>46</v>
      </c>
      <c r="J61" s="10" t="s">
        <v>358</v>
      </c>
      <c r="K61" s="10" t="s">
        <v>717</v>
      </c>
      <c r="L61" s="11" t="str">
        <f>IF(I61&gt;=50,"ناجح","راسب")</f>
        <v>راسب</v>
      </c>
      <c r="M61" s="11" t="str">
        <f>IF(I61&gt;=90,"امتياز",IF(I61&gt;=80,"جيدجدا",IF(I61&gt;=70,"جيد",IF(I61&gt;=60,"متوسط ",IF(I61&gt;=50,"مقبول","ضعيف")))))</f>
        <v>ضعيف</v>
      </c>
      <c r="N61" s="7"/>
      <c r="O61" s="7"/>
      <c r="P61" s="7">
        <v>25</v>
      </c>
      <c r="Q61" s="7">
        <v>35</v>
      </c>
      <c r="R61" s="17">
        <v>71.430000000000007</v>
      </c>
      <c r="S61" s="17"/>
      <c r="T61" s="17"/>
      <c r="U61" s="17"/>
    </row>
    <row r="62" spans="1:21" ht="24" customHeight="1" thickBot="1" x14ac:dyDescent="0.3">
      <c r="A62" s="6">
        <v>61</v>
      </c>
      <c r="B62" s="13" t="s">
        <v>68</v>
      </c>
      <c r="C62" s="15" t="s">
        <v>420</v>
      </c>
      <c r="D62" s="8" t="s">
        <v>119</v>
      </c>
      <c r="E62" s="9">
        <v>50</v>
      </c>
      <c r="F62" s="9">
        <v>2</v>
      </c>
      <c r="G62" s="9">
        <f>F62+E62</f>
        <v>52</v>
      </c>
      <c r="H62" s="9">
        <v>0</v>
      </c>
      <c r="I62" s="9">
        <f>H62+G62</f>
        <v>52</v>
      </c>
      <c r="J62" s="10" t="s">
        <v>359</v>
      </c>
      <c r="K62" s="10" t="s">
        <v>717</v>
      </c>
      <c r="L62" s="11" t="str">
        <f>IF(I62&gt;=50,"ناجح","راسب")</f>
        <v>ناجح</v>
      </c>
      <c r="M62" s="11" t="str">
        <f>IF(I62&gt;=90,"امتياز",IF(I62&gt;=80,"جيدجدا",IF(I62&gt;=70,"جيد",IF(I62&gt;=60,"متوسط ",IF(I62&gt;=50,"مقبول","ضعيف")))))</f>
        <v>مقبول</v>
      </c>
      <c r="N62" s="7">
        <v>20</v>
      </c>
      <c r="O62" s="7" t="s">
        <v>6</v>
      </c>
      <c r="P62" s="7">
        <v>27</v>
      </c>
      <c r="Q62" s="7">
        <v>57</v>
      </c>
      <c r="R62" s="17">
        <v>47.37</v>
      </c>
      <c r="S62" s="17"/>
      <c r="T62" s="17"/>
      <c r="U62" s="17"/>
    </row>
    <row r="63" spans="1:21" ht="24" customHeight="1" thickBot="1" x14ac:dyDescent="0.3">
      <c r="A63" s="6">
        <v>62</v>
      </c>
      <c r="B63" s="13" t="s">
        <v>69</v>
      </c>
      <c r="C63" s="15" t="s">
        <v>421</v>
      </c>
      <c r="D63" s="8" t="s">
        <v>119</v>
      </c>
      <c r="E63" s="9">
        <v>50</v>
      </c>
      <c r="F63" s="9">
        <v>3</v>
      </c>
      <c r="G63" s="9">
        <f>F63+E63</f>
        <v>53</v>
      </c>
      <c r="H63" s="9">
        <v>0</v>
      </c>
      <c r="I63" s="9">
        <f>H63+G63</f>
        <v>53</v>
      </c>
      <c r="J63" s="10" t="s">
        <v>359</v>
      </c>
      <c r="K63" s="10" t="s">
        <v>717</v>
      </c>
      <c r="L63" s="11" t="str">
        <f>IF(I63&gt;=50,"ناجح","راسب")</f>
        <v>ناجح</v>
      </c>
      <c r="M63" s="11" t="str">
        <f>IF(I63&gt;=90,"امتياز",IF(I63&gt;=80,"جيدجدا",IF(I63&gt;=70,"جيد",IF(I63&gt;=60,"متوسط ",IF(I63&gt;=50,"مقبول","ضعيف")))))</f>
        <v>مقبول</v>
      </c>
      <c r="N63" s="7">
        <v>19</v>
      </c>
      <c r="O63" s="7" t="s">
        <v>6</v>
      </c>
      <c r="P63" s="7">
        <v>27</v>
      </c>
      <c r="Q63" s="7">
        <v>57</v>
      </c>
      <c r="R63" s="17">
        <v>47.37</v>
      </c>
      <c r="S63" s="17"/>
      <c r="T63" s="17"/>
      <c r="U63" s="17"/>
    </row>
    <row r="64" spans="1:21" ht="24" customHeight="1" thickBot="1" x14ac:dyDescent="0.3">
      <c r="A64" s="6">
        <v>63</v>
      </c>
      <c r="B64" s="13" t="s">
        <v>70</v>
      </c>
      <c r="C64" s="15" t="s">
        <v>422</v>
      </c>
      <c r="D64" s="8" t="s">
        <v>119</v>
      </c>
      <c r="E64" s="9">
        <v>41</v>
      </c>
      <c r="F64" s="9">
        <v>3</v>
      </c>
      <c r="G64" s="9">
        <f>F64+E64</f>
        <v>44</v>
      </c>
      <c r="H64" s="9">
        <v>0</v>
      </c>
      <c r="I64" s="9">
        <f>H64+G64</f>
        <v>44</v>
      </c>
      <c r="J64" s="10" t="s">
        <v>359</v>
      </c>
      <c r="K64" s="10" t="s">
        <v>717</v>
      </c>
      <c r="L64" s="11" t="str">
        <f>IF(I64&gt;=50,"ناجح","راسب")</f>
        <v>راسب</v>
      </c>
      <c r="M64" s="11" t="str">
        <f>IF(I64&gt;=90,"امتياز",IF(I64&gt;=80,"جيدجدا",IF(I64&gt;=70,"جيد",IF(I64&gt;=60,"متوسط ",IF(I64&gt;=50,"مقبول","ضعيف")))))</f>
        <v>ضعيف</v>
      </c>
      <c r="N64" s="7"/>
      <c r="O64" s="7"/>
      <c r="P64" s="7">
        <v>27</v>
      </c>
      <c r="Q64" s="7">
        <v>57</v>
      </c>
      <c r="R64" s="17">
        <v>47.37</v>
      </c>
      <c r="S64" s="17"/>
      <c r="T64" s="17"/>
      <c r="U64" s="17"/>
    </row>
    <row r="65" spans="1:21" ht="24" customHeight="1" thickBot="1" x14ac:dyDescent="0.3">
      <c r="A65" s="6">
        <v>64</v>
      </c>
      <c r="B65" s="13" t="s">
        <v>71</v>
      </c>
      <c r="C65" s="15" t="s">
        <v>423</v>
      </c>
      <c r="D65" s="8" t="s">
        <v>119</v>
      </c>
      <c r="E65" s="9">
        <v>55</v>
      </c>
      <c r="F65" s="9">
        <v>2</v>
      </c>
      <c r="G65" s="9">
        <f>F65+E65</f>
        <v>57</v>
      </c>
      <c r="H65" s="9">
        <v>0</v>
      </c>
      <c r="I65" s="9">
        <f>H65+G65</f>
        <v>57</v>
      </c>
      <c r="J65" s="10" t="s">
        <v>359</v>
      </c>
      <c r="K65" s="10" t="s">
        <v>717</v>
      </c>
      <c r="L65" s="11" t="str">
        <f>IF(I65&gt;=50,"ناجح","راسب")</f>
        <v>ناجح</v>
      </c>
      <c r="M65" s="11" t="str">
        <f>IF(I65&gt;=90,"امتياز",IF(I65&gt;=80,"جيدجدا",IF(I65&gt;=70,"جيد",IF(I65&gt;=60,"متوسط ",IF(I65&gt;=50,"مقبول","ضعيف")))))</f>
        <v>مقبول</v>
      </c>
      <c r="N65" s="7">
        <v>16</v>
      </c>
      <c r="O65" s="7" t="s">
        <v>6</v>
      </c>
      <c r="P65" s="7">
        <v>27</v>
      </c>
      <c r="Q65" s="7">
        <v>57</v>
      </c>
      <c r="R65" s="17">
        <v>47.37</v>
      </c>
      <c r="S65" s="17"/>
      <c r="T65" s="17"/>
      <c r="U65" s="17"/>
    </row>
    <row r="66" spans="1:21" ht="24" customHeight="1" thickBot="1" x14ac:dyDescent="0.3">
      <c r="A66" s="6">
        <v>65</v>
      </c>
      <c r="B66" s="13" t="s">
        <v>72</v>
      </c>
      <c r="C66" s="15" t="s">
        <v>424</v>
      </c>
      <c r="D66" s="8" t="s">
        <v>119</v>
      </c>
      <c r="E66" s="9">
        <v>69</v>
      </c>
      <c r="F66" s="9">
        <v>0</v>
      </c>
      <c r="G66" s="9">
        <f>F66+E66</f>
        <v>69</v>
      </c>
      <c r="H66" s="9">
        <v>0</v>
      </c>
      <c r="I66" s="9">
        <f>H66+G66</f>
        <v>69</v>
      </c>
      <c r="J66" s="10" t="s">
        <v>359</v>
      </c>
      <c r="K66" s="10" t="s">
        <v>717</v>
      </c>
      <c r="L66" s="11" t="str">
        <f>IF(I66&gt;=50,"ناجح","راسب")</f>
        <v>ناجح</v>
      </c>
      <c r="M66" s="11" t="str">
        <f>IF(I66&gt;=90,"امتياز",IF(I66&gt;=80,"جيدجدا",IF(I66&gt;=70,"جيد",IF(I66&gt;=60,"متوسط ",IF(I66&gt;=50,"مقبول","ضعيف")))))</f>
        <v xml:space="preserve">متوسط </v>
      </c>
      <c r="N66" s="7">
        <v>8</v>
      </c>
      <c r="O66" s="7" t="s">
        <v>6</v>
      </c>
      <c r="P66" s="7">
        <v>27</v>
      </c>
      <c r="Q66" s="7">
        <v>57</v>
      </c>
      <c r="R66" s="17">
        <v>47.37</v>
      </c>
      <c r="S66" s="17"/>
      <c r="T66" s="17"/>
      <c r="U66" s="17"/>
    </row>
    <row r="67" spans="1:21" ht="24" customHeight="1" thickBot="1" x14ac:dyDescent="0.3">
      <c r="A67" s="6">
        <v>66</v>
      </c>
      <c r="B67" s="13" t="s">
        <v>73</v>
      </c>
      <c r="C67" s="15" t="s">
        <v>425</v>
      </c>
      <c r="D67" s="8" t="s">
        <v>119</v>
      </c>
      <c r="E67" s="9">
        <v>0</v>
      </c>
      <c r="F67" s="9">
        <v>0</v>
      </c>
      <c r="G67" s="9">
        <f>F67+E67</f>
        <v>0</v>
      </c>
      <c r="H67" s="9">
        <v>0</v>
      </c>
      <c r="I67" s="9">
        <f>H67+G67</f>
        <v>0</v>
      </c>
      <c r="J67" s="10" t="s">
        <v>359</v>
      </c>
      <c r="K67" s="10" t="s">
        <v>717</v>
      </c>
      <c r="L67" s="11" t="str">
        <f>IF(I67&gt;=50,"ناجح","راسب")</f>
        <v>راسب</v>
      </c>
      <c r="M67" s="11" t="str">
        <f>IF(I67&gt;=90,"امتياز",IF(I67&gt;=80,"جيدجدا",IF(I67&gt;=70,"جيد",IF(I67&gt;=60,"متوسط ",IF(I67&gt;=50,"مقبول","ضعيف")))))</f>
        <v>ضعيف</v>
      </c>
      <c r="N67" s="7"/>
      <c r="O67" s="7"/>
      <c r="P67" s="7">
        <v>27</v>
      </c>
      <c r="Q67" s="7">
        <v>57</v>
      </c>
      <c r="R67" s="17">
        <v>47.37</v>
      </c>
      <c r="S67" s="17"/>
      <c r="T67" s="17"/>
      <c r="U67" s="17"/>
    </row>
    <row r="68" spans="1:21" ht="24" customHeight="1" thickBot="1" x14ac:dyDescent="0.3">
      <c r="A68" s="6">
        <v>67</v>
      </c>
      <c r="B68" s="13" t="s">
        <v>74</v>
      </c>
      <c r="C68" s="15" t="s">
        <v>426</v>
      </c>
      <c r="D68" s="8" t="s">
        <v>119</v>
      </c>
      <c r="E68" s="9">
        <v>59</v>
      </c>
      <c r="F68" s="9">
        <v>3</v>
      </c>
      <c r="G68" s="9">
        <f>F68+E68</f>
        <v>62</v>
      </c>
      <c r="H68" s="9">
        <v>0</v>
      </c>
      <c r="I68" s="9">
        <f>H68+G68</f>
        <v>62</v>
      </c>
      <c r="J68" s="10" t="s">
        <v>359</v>
      </c>
      <c r="K68" s="10" t="s">
        <v>717</v>
      </c>
      <c r="L68" s="11" t="str">
        <f>IF(I68&gt;=50,"ناجح","راسب")</f>
        <v>ناجح</v>
      </c>
      <c r="M68" s="11" t="str">
        <f>IF(I68&gt;=90,"امتياز",IF(I68&gt;=80,"جيدجدا",IF(I68&gt;=70,"جيد",IF(I68&gt;=60,"متوسط ",IF(I68&gt;=50,"مقبول","ضعيف")))))</f>
        <v xml:space="preserve">متوسط </v>
      </c>
      <c r="N68" s="7">
        <v>12</v>
      </c>
      <c r="O68" s="7" t="s">
        <v>6</v>
      </c>
      <c r="P68" s="7">
        <v>27</v>
      </c>
      <c r="Q68" s="7">
        <v>57</v>
      </c>
      <c r="R68" s="17">
        <v>47.37</v>
      </c>
      <c r="S68" s="17"/>
      <c r="T68" s="17"/>
      <c r="U68" s="17"/>
    </row>
    <row r="69" spans="1:21" ht="24" customHeight="1" thickBot="1" x14ac:dyDescent="0.3">
      <c r="A69" s="6">
        <v>68</v>
      </c>
      <c r="B69" s="13" t="s">
        <v>75</v>
      </c>
      <c r="C69" s="15" t="s">
        <v>427</v>
      </c>
      <c r="D69" s="8" t="s">
        <v>119</v>
      </c>
      <c r="E69" s="9">
        <v>50</v>
      </c>
      <c r="F69" s="9">
        <v>2</v>
      </c>
      <c r="G69" s="9">
        <f>F69+E69</f>
        <v>52</v>
      </c>
      <c r="H69" s="9">
        <v>0</v>
      </c>
      <c r="I69" s="9">
        <f>H69+G69</f>
        <v>52</v>
      </c>
      <c r="J69" s="10" t="s">
        <v>359</v>
      </c>
      <c r="K69" s="10" t="s">
        <v>717</v>
      </c>
      <c r="L69" s="11" t="str">
        <f>IF(I69&gt;=50,"ناجح","راسب")</f>
        <v>ناجح</v>
      </c>
      <c r="M69" s="11" t="str">
        <f>IF(I69&gt;=90,"امتياز",IF(I69&gt;=80,"جيدجدا",IF(I69&gt;=70,"جيد",IF(I69&gt;=60,"متوسط ",IF(I69&gt;=50,"مقبول","ضعيف")))))</f>
        <v>مقبول</v>
      </c>
      <c r="N69" s="7">
        <v>20</v>
      </c>
      <c r="O69" s="7" t="s">
        <v>6</v>
      </c>
      <c r="P69" s="7">
        <v>27</v>
      </c>
      <c r="Q69" s="7">
        <v>57</v>
      </c>
      <c r="R69" s="17">
        <v>47.37</v>
      </c>
      <c r="S69" s="17"/>
      <c r="T69" s="17"/>
      <c r="U69" s="17"/>
    </row>
    <row r="70" spans="1:21" ht="24" customHeight="1" thickBot="1" x14ac:dyDescent="0.3">
      <c r="A70" s="6">
        <v>69</v>
      </c>
      <c r="B70" s="13" t="s">
        <v>76</v>
      </c>
      <c r="C70" s="15" t="s">
        <v>428</v>
      </c>
      <c r="D70" s="8" t="s">
        <v>119</v>
      </c>
      <c r="E70" s="9">
        <v>53</v>
      </c>
      <c r="F70" s="9">
        <v>3</v>
      </c>
      <c r="G70" s="9">
        <f>F70+E70</f>
        <v>56</v>
      </c>
      <c r="H70" s="9">
        <v>0</v>
      </c>
      <c r="I70" s="9">
        <f>H70+G70</f>
        <v>56</v>
      </c>
      <c r="J70" s="10" t="s">
        <v>359</v>
      </c>
      <c r="K70" s="10" t="s">
        <v>717</v>
      </c>
      <c r="L70" s="11" t="str">
        <f>IF(I70&gt;=50,"ناجح","راسب")</f>
        <v>ناجح</v>
      </c>
      <c r="M70" s="11" t="str">
        <f>IF(I70&gt;=90,"امتياز",IF(I70&gt;=80,"جيدجدا",IF(I70&gt;=70,"جيد",IF(I70&gt;=60,"متوسط ",IF(I70&gt;=50,"مقبول","ضعيف")))))</f>
        <v>مقبول</v>
      </c>
      <c r="N70" s="7">
        <v>17</v>
      </c>
      <c r="O70" s="7" t="s">
        <v>6</v>
      </c>
      <c r="P70" s="7">
        <v>27</v>
      </c>
      <c r="Q70" s="7">
        <v>57</v>
      </c>
      <c r="R70" s="17">
        <v>47.37</v>
      </c>
      <c r="S70" s="17"/>
      <c r="T70" s="17"/>
      <c r="U70" s="17"/>
    </row>
    <row r="71" spans="1:21" ht="24" customHeight="1" thickBot="1" x14ac:dyDescent="0.3">
      <c r="A71" s="6">
        <v>70</v>
      </c>
      <c r="B71" s="13" t="s">
        <v>77</v>
      </c>
      <c r="C71" s="15" t="s">
        <v>429</v>
      </c>
      <c r="D71" s="8" t="s">
        <v>119</v>
      </c>
      <c r="E71" s="9">
        <v>60</v>
      </c>
      <c r="F71" s="9">
        <v>5</v>
      </c>
      <c r="G71" s="9">
        <f>F71+E71</f>
        <v>65</v>
      </c>
      <c r="H71" s="9">
        <v>0</v>
      </c>
      <c r="I71" s="9">
        <f>H71+G71</f>
        <v>65</v>
      </c>
      <c r="J71" s="10" t="s">
        <v>359</v>
      </c>
      <c r="K71" s="10" t="s">
        <v>717</v>
      </c>
      <c r="L71" s="11" t="str">
        <f>IF(I71&gt;=50,"ناجح","راسب")</f>
        <v>ناجح</v>
      </c>
      <c r="M71" s="11" t="str">
        <f>IF(I71&gt;=90,"امتياز",IF(I71&gt;=80,"جيدجدا",IF(I71&gt;=70,"جيد",IF(I71&gt;=60,"متوسط ",IF(I71&gt;=50,"مقبول","ضعيف")))))</f>
        <v xml:space="preserve">متوسط </v>
      </c>
      <c r="N71" s="7">
        <v>10</v>
      </c>
      <c r="O71" s="7" t="s">
        <v>6</v>
      </c>
      <c r="P71" s="7">
        <v>27</v>
      </c>
      <c r="Q71" s="7">
        <v>57</v>
      </c>
      <c r="R71" s="17">
        <v>47.37</v>
      </c>
      <c r="S71" s="17"/>
      <c r="T71" s="17"/>
      <c r="U71" s="17"/>
    </row>
    <row r="72" spans="1:21" ht="24" customHeight="1" thickBot="1" x14ac:dyDescent="0.3">
      <c r="A72" s="6">
        <v>71</v>
      </c>
      <c r="B72" s="13" t="s">
        <v>78</v>
      </c>
      <c r="C72" s="15" t="s">
        <v>430</v>
      </c>
      <c r="D72" s="8" t="s">
        <v>119</v>
      </c>
      <c r="E72" s="9">
        <v>0</v>
      </c>
      <c r="F72" s="9">
        <v>0</v>
      </c>
      <c r="G72" s="9">
        <f>F72+E72</f>
        <v>0</v>
      </c>
      <c r="H72" s="9">
        <v>0</v>
      </c>
      <c r="I72" s="9">
        <f>H72+G72</f>
        <v>0</v>
      </c>
      <c r="J72" s="10" t="s">
        <v>359</v>
      </c>
      <c r="K72" s="10" t="s">
        <v>717</v>
      </c>
      <c r="L72" s="11" t="str">
        <f>IF(I72&gt;=50,"ناجح","راسب")</f>
        <v>راسب</v>
      </c>
      <c r="M72" s="11" t="str">
        <f>IF(I72&gt;=90,"امتياز",IF(I72&gt;=80,"جيدجدا",IF(I72&gt;=70,"جيد",IF(I72&gt;=60,"متوسط ",IF(I72&gt;=50,"مقبول","ضعيف")))))</f>
        <v>ضعيف</v>
      </c>
      <c r="N72" s="7"/>
      <c r="O72" s="7"/>
      <c r="P72" s="7">
        <v>27</v>
      </c>
      <c r="Q72" s="7">
        <v>57</v>
      </c>
      <c r="R72" s="17">
        <v>47.37</v>
      </c>
      <c r="S72" s="17"/>
      <c r="T72" s="17"/>
      <c r="U72" s="17"/>
    </row>
    <row r="73" spans="1:21" ht="24" customHeight="1" thickBot="1" x14ac:dyDescent="0.3">
      <c r="A73" s="6">
        <v>72</v>
      </c>
      <c r="B73" s="13" t="s">
        <v>79</v>
      </c>
      <c r="C73" s="15" t="s">
        <v>431</v>
      </c>
      <c r="D73" s="8" t="s">
        <v>119</v>
      </c>
      <c r="E73" s="9">
        <v>48</v>
      </c>
      <c r="F73" s="9">
        <v>10</v>
      </c>
      <c r="G73" s="9">
        <f>F73+E73</f>
        <v>58</v>
      </c>
      <c r="H73" s="9">
        <v>0</v>
      </c>
      <c r="I73" s="9">
        <f>H73+G73</f>
        <v>58</v>
      </c>
      <c r="J73" s="10" t="s">
        <v>359</v>
      </c>
      <c r="K73" s="10" t="s">
        <v>717</v>
      </c>
      <c r="L73" s="11" t="str">
        <f>IF(I73&gt;=50,"ناجح","راسب")</f>
        <v>ناجح</v>
      </c>
      <c r="M73" s="11" t="str">
        <f>IF(I73&gt;=90,"امتياز",IF(I73&gt;=80,"جيدجدا",IF(I73&gt;=70,"جيد",IF(I73&gt;=60,"متوسط ",IF(I73&gt;=50,"مقبول","ضعيف")))))</f>
        <v>مقبول</v>
      </c>
      <c r="N73" s="7">
        <v>15</v>
      </c>
      <c r="O73" s="7" t="s">
        <v>6</v>
      </c>
      <c r="P73" s="7">
        <v>27</v>
      </c>
      <c r="Q73" s="7">
        <v>57</v>
      </c>
      <c r="R73" s="17">
        <v>47.37</v>
      </c>
      <c r="S73" s="17"/>
      <c r="T73" s="17"/>
      <c r="U73" s="17"/>
    </row>
    <row r="74" spans="1:21" ht="24" customHeight="1" thickBot="1" x14ac:dyDescent="0.3">
      <c r="A74" s="6">
        <v>73</v>
      </c>
      <c r="B74" s="13" t="s">
        <v>80</v>
      </c>
      <c r="C74" s="15" t="s">
        <v>432</v>
      </c>
      <c r="D74" s="8" t="s">
        <v>119</v>
      </c>
      <c r="E74" s="9">
        <v>39</v>
      </c>
      <c r="F74" s="9">
        <v>0</v>
      </c>
      <c r="G74" s="9">
        <f>F74+E74</f>
        <v>39</v>
      </c>
      <c r="H74" s="9">
        <v>0</v>
      </c>
      <c r="I74" s="9">
        <f>H74+G74</f>
        <v>39</v>
      </c>
      <c r="J74" s="10" t="s">
        <v>359</v>
      </c>
      <c r="K74" s="10" t="s">
        <v>717</v>
      </c>
      <c r="L74" s="11" t="str">
        <f>IF(I74&gt;=50,"ناجح","راسب")</f>
        <v>راسب</v>
      </c>
      <c r="M74" s="11" t="str">
        <f>IF(I74&gt;=90,"امتياز",IF(I74&gt;=80,"جيدجدا",IF(I74&gt;=70,"جيد",IF(I74&gt;=60,"متوسط ",IF(I74&gt;=50,"مقبول","ضعيف")))))</f>
        <v>ضعيف</v>
      </c>
      <c r="N74" s="7"/>
      <c r="O74" s="7"/>
      <c r="P74" s="7">
        <v>27</v>
      </c>
      <c r="Q74" s="7">
        <v>57</v>
      </c>
      <c r="R74" s="17">
        <v>47.37</v>
      </c>
      <c r="S74" s="17"/>
      <c r="T74" s="17"/>
      <c r="U74" s="17"/>
    </row>
    <row r="75" spans="1:21" ht="24" customHeight="1" thickBot="1" x14ac:dyDescent="0.3">
      <c r="A75" s="6">
        <v>74</v>
      </c>
      <c r="B75" s="13" t="s">
        <v>231</v>
      </c>
      <c r="C75" s="15" t="s">
        <v>433</v>
      </c>
      <c r="D75" s="8" t="s">
        <v>119</v>
      </c>
      <c r="E75" s="9">
        <v>0</v>
      </c>
      <c r="F75" s="9">
        <v>0</v>
      </c>
      <c r="G75" s="9">
        <f>F75+E75</f>
        <v>0</v>
      </c>
      <c r="H75" s="9">
        <v>0</v>
      </c>
      <c r="I75" s="9">
        <f>H75+G75</f>
        <v>0</v>
      </c>
      <c r="J75" s="10" t="s">
        <v>359</v>
      </c>
      <c r="K75" s="10" t="s">
        <v>717</v>
      </c>
      <c r="L75" s="11" t="str">
        <f>IF(I75&gt;=50,"ناجح","راسب")</f>
        <v>راسب</v>
      </c>
      <c r="M75" s="11" t="str">
        <f>IF(I75&gt;=90,"امتياز",IF(I75&gt;=80,"جيدجدا",IF(I75&gt;=70,"جيد",IF(I75&gt;=60,"متوسط ",IF(I75&gt;=50,"مقبول","ضعيف")))))</f>
        <v>ضعيف</v>
      </c>
      <c r="N75" s="7"/>
      <c r="O75" s="7"/>
      <c r="P75" s="7">
        <v>27</v>
      </c>
      <c r="Q75" s="7">
        <v>57</v>
      </c>
      <c r="R75" s="17">
        <v>47.37</v>
      </c>
      <c r="S75" s="17"/>
      <c r="T75" s="17"/>
      <c r="U75" s="17"/>
    </row>
    <row r="76" spans="1:21" ht="24" customHeight="1" thickBot="1" x14ac:dyDescent="0.3">
      <c r="A76" s="6">
        <v>75</v>
      </c>
      <c r="B76" s="13" t="s">
        <v>81</v>
      </c>
      <c r="C76" s="15" t="s">
        <v>434</v>
      </c>
      <c r="D76" s="8" t="s">
        <v>119</v>
      </c>
      <c r="E76" s="9">
        <v>50</v>
      </c>
      <c r="F76" s="9">
        <v>15</v>
      </c>
      <c r="G76" s="9">
        <f>F76+E76</f>
        <v>65</v>
      </c>
      <c r="H76" s="9">
        <v>0</v>
      </c>
      <c r="I76" s="9">
        <f>H76+G76</f>
        <v>65</v>
      </c>
      <c r="J76" s="10" t="s">
        <v>359</v>
      </c>
      <c r="K76" s="10" t="s">
        <v>717</v>
      </c>
      <c r="L76" s="11" t="str">
        <f>IF(I76&gt;=50,"ناجح","راسب")</f>
        <v>ناجح</v>
      </c>
      <c r="M76" s="11" t="str">
        <f>IF(I76&gt;=90,"امتياز",IF(I76&gt;=80,"جيدجدا",IF(I76&gt;=70,"جيد",IF(I76&gt;=60,"متوسط ",IF(I76&gt;=50,"مقبول","ضعيف")))))</f>
        <v xml:space="preserve">متوسط </v>
      </c>
      <c r="N76" s="7">
        <v>10</v>
      </c>
      <c r="O76" s="7" t="s">
        <v>6</v>
      </c>
      <c r="P76" s="7">
        <v>27</v>
      </c>
      <c r="Q76" s="7">
        <v>57</v>
      </c>
      <c r="R76" s="17">
        <v>47.37</v>
      </c>
      <c r="S76" s="17"/>
      <c r="T76" s="17"/>
      <c r="U76" s="17"/>
    </row>
    <row r="77" spans="1:21" ht="24" customHeight="1" thickBot="1" x14ac:dyDescent="0.3">
      <c r="A77" s="6">
        <v>76</v>
      </c>
      <c r="B77" s="13" t="s">
        <v>82</v>
      </c>
      <c r="C77" s="15" t="s">
        <v>435</v>
      </c>
      <c r="D77" s="8" t="s">
        <v>119</v>
      </c>
      <c r="E77" s="9">
        <v>52</v>
      </c>
      <c r="F77" s="9">
        <v>15</v>
      </c>
      <c r="G77" s="9">
        <f>F77+E77</f>
        <v>67</v>
      </c>
      <c r="H77" s="9">
        <v>0</v>
      </c>
      <c r="I77" s="9">
        <f>H77+G77</f>
        <v>67</v>
      </c>
      <c r="J77" s="10" t="s">
        <v>359</v>
      </c>
      <c r="K77" s="10" t="s">
        <v>717</v>
      </c>
      <c r="L77" s="11" t="str">
        <f>IF(I77&gt;=50,"ناجح","راسب")</f>
        <v>ناجح</v>
      </c>
      <c r="M77" s="11" t="str">
        <f>IF(I77&gt;=90,"امتياز",IF(I77&gt;=80,"جيدجدا",IF(I77&gt;=70,"جيد",IF(I77&gt;=60,"متوسط ",IF(I77&gt;=50,"مقبول","ضعيف")))))</f>
        <v xml:space="preserve">متوسط </v>
      </c>
      <c r="N77" s="7">
        <v>9</v>
      </c>
      <c r="O77" s="7" t="s">
        <v>6</v>
      </c>
      <c r="P77" s="7">
        <v>27</v>
      </c>
      <c r="Q77" s="7">
        <v>57</v>
      </c>
      <c r="R77" s="17">
        <v>47.37</v>
      </c>
      <c r="S77" s="17"/>
      <c r="T77" s="17"/>
      <c r="U77" s="17"/>
    </row>
    <row r="78" spans="1:21" ht="24" customHeight="1" thickBot="1" x14ac:dyDescent="0.3">
      <c r="A78" s="6">
        <v>77</v>
      </c>
      <c r="B78" s="13" t="s">
        <v>83</v>
      </c>
      <c r="C78" s="15" t="s">
        <v>436</v>
      </c>
      <c r="D78" s="8" t="s">
        <v>119</v>
      </c>
      <c r="E78" s="9">
        <v>43</v>
      </c>
      <c r="F78" s="9">
        <v>0</v>
      </c>
      <c r="G78" s="9">
        <f>F78+E78</f>
        <v>43</v>
      </c>
      <c r="H78" s="9">
        <v>0</v>
      </c>
      <c r="I78" s="9">
        <f>H78+G78</f>
        <v>43</v>
      </c>
      <c r="J78" s="10" t="s">
        <v>359</v>
      </c>
      <c r="K78" s="10" t="s">
        <v>717</v>
      </c>
      <c r="L78" s="11" t="str">
        <f>IF(I78&gt;=50,"ناجح","راسب")</f>
        <v>راسب</v>
      </c>
      <c r="M78" s="11" t="str">
        <f>IF(I78&gt;=90,"امتياز",IF(I78&gt;=80,"جيدجدا",IF(I78&gt;=70,"جيد",IF(I78&gt;=60,"متوسط ",IF(I78&gt;=50,"مقبول","ضعيف")))))</f>
        <v>ضعيف</v>
      </c>
      <c r="N78" s="7"/>
      <c r="O78" s="7"/>
      <c r="P78" s="7">
        <v>27</v>
      </c>
      <c r="Q78" s="7">
        <v>57</v>
      </c>
      <c r="R78" s="17">
        <v>47.37</v>
      </c>
      <c r="S78" s="17"/>
      <c r="T78" s="17"/>
      <c r="U78" s="17"/>
    </row>
    <row r="79" spans="1:21" ht="24" customHeight="1" thickBot="1" x14ac:dyDescent="0.3">
      <c r="A79" s="6">
        <v>78</v>
      </c>
      <c r="B79" s="13" t="s">
        <v>84</v>
      </c>
      <c r="C79" s="15" t="s">
        <v>437</v>
      </c>
      <c r="D79" s="8" t="s">
        <v>119</v>
      </c>
      <c r="E79" s="9">
        <v>0</v>
      </c>
      <c r="F79" s="9">
        <v>0</v>
      </c>
      <c r="G79" s="9">
        <f>F79+E79</f>
        <v>0</v>
      </c>
      <c r="H79" s="9">
        <v>0</v>
      </c>
      <c r="I79" s="9">
        <f>H79+G79</f>
        <v>0</v>
      </c>
      <c r="J79" s="10" t="s">
        <v>359</v>
      </c>
      <c r="K79" s="10" t="s">
        <v>717</v>
      </c>
      <c r="L79" s="11" t="str">
        <f>IF(I79&gt;=50,"ناجح","راسب")</f>
        <v>راسب</v>
      </c>
      <c r="M79" s="11" t="str">
        <f>IF(I79&gt;=90,"امتياز",IF(I79&gt;=80,"جيدجدا",IF(I79&gt;=70,"جيد",IF(I79&gt;=60,"متوسط ",IF(I79&gt;=50,"مقبول","ضعيف")))))</f>
        <v>ضعيف</v>
      </c>
      <c r="N79" s="7"/>
      <c r="O79" s="7"/>
      <c r="P79" s="7">
        <v>27</v>
      </c>
      <c r="Q79" s="7">
        <v>57</v>
      </c>
      <c r="R79" s="17">
        <v>47.37</v>
      </c>
      <c r="S79" s="17"/>
      <c r="T79" s="17"/>
      <c r="U79" s="17"/>
    </row>
    <row r="80" spans="1:21" ht="24" customHeight="1" thickBot="1" x14ac:dyDescent="0.3">
      <c r="A80" s="6">
        <v>79</v>
      </c>
      <c r="B80" s="13" t="s">
        <v>85</v>
      </c>
      <c r="C80" s="15" t="s">
        <v>438</v>
      </c>
      <c r="D80" s="8" t="s">
        <v>119</v>
      </c>
      <c r="E80" s="9">
        <v>39</v>
      </c>
      <c r="F80" s="9">
        <v>5</v>
      </c>
      <c r="G80" s="9">
        <f>F80+E80</f>
        <v>44</v>
      </c>
      <c r="H80" s="9">
        <v>0</v>
      </c>
      <c r="I80" s="9">
        <f>H80+G80</f>
        <v>44</v>
      </c>
      <c r="J80" s="10" t="s">
        <v>359</v>
      </c>
      <c r="K80" s="10" t="s">
        <v>717</v>
      </c>
      <c r="L80" s="11" t="str">
        <f>IF(I80&gt;=50,"ناجح","راسب")</f>
        <v>راسب</v>
      </c>
      <c r="M80" s="11" t="str">
        <f>IF(I80&gt;=90,"امتياز",IF(I80&gt;=80,"جيدجدا",IF(I80&gt;=70,"جيد",IF(I80&gt;=60,"متوسط ",IF(I80&gt;=50,"مقبول","ضعيف")))))</f>
        <v>ضعيف</v>
      </c>
      <c r="N80" s="7"/>
      <c r="O80" s="7"/>
      <c r="P80" s="7">
        <v>27</v>
      </c>
      <c r="Q80" s="7">
        <v>57</v>
      </c>
      <c r="R80" s="17">
        <v>47.37</v>
      </c>
      <c r="S80" s="17"/>
      <c r="T80" s="17"/>
      <c r="U80" s="17"/>
    </row>
    <row r="81" spans="1:21" ht="24" customHeight="1" thickBot="1" x14ac:dyDescent="0.3">
      <c r="A81" s="6">
        <v>80</v>
      </c>
      <c r="B81" s="13" t="s">
        <v>86</v>
      </c>
      <c r="C81" s="15" t="s">
        <v>439</v>
      </c>
      <c r="D81" s="8" t="s">
        <v>119</v>
      </c>
      <c r="E81" s="9">
        <v>62</v>
      </c>
      <c r="F81" s="9">
        <v>12</v>
      </c>
      <c r="G81" s="9">
        <f>F81+E81</f>
        <v>74</v>
      </c>
      <c r="H81" s="9">
        <v>0</v>
      </c>
      <c r="I81" s="9">
        <f>H81+G81</f>
        <v>74</v>
      </c>
      <c r="J81" s="10" t="s">
        <v>359</v>
      </c>
      <c r="K81" s="10" t="s">
        <v>717</v>
      </c>
      <c r="L81" s="11" t="str">
        <f>IF(I81&gt;=50,"ناجح","راسب")</f>
        <v>ناجح</v>
      </c>
      <c r="M81" s="11" t="str">
        <f>IF(I81&gt;=90,"امتياز",IF(I81&gt;=80,"جيدجدا",IF(I81&gt;=70,"جيد",IF(I81&gt;=60,"متوسط ",IF(I81&gt;=50,"مقبول","ضعيف")))))</f>
        <v>جيد</v>
      </c>
      <c r="N81" s="7">
        <v>4</v>
      </c>
      <c r="O81" s="7" t="s">
        <v>6</v>
      </c>
      <c r="P81" s="7">
        <v>27</v>
      </c>
      <c r="Q81" s="7">
        <v>57</v>
      </c>
      <c r="R81" s="17">
        <v>47.37</v>
      </c>
      <c r="S81" s="17"/>
      <c r="T81" s="17"/>
      <c r="U81" s="17"/>
    </row>
    <row r="82" spans="1:21" ht="24" customHeight="1" thickBot="1" x14ac:dyDescent="0.3">
      <c r="A82" s="6">
        <v>81</v>
      </c>
      <c r="B82" s="13" t="s">
        <v>87</v>
      </c>
      <c r="C82" s="15" t="s">
        <v>440</v>
      </c>
      <c r="D82" s="8" t="s">
        <v>119</v>
      </c>
      <c r="E82" s="9">
        <v>53</v>
      </c>
      <c r="F82" s="9">
        <v>5</v>
      </c>
      <c r="G82" s="9">
        <f>F82+E82</f>
        <v>58</v>
      </c>
      <c r="H82" s="9">
        <v>0</v>
      </c>
      <c r="I82" s="9">
        <f>H82+G82</f>
        <v>58</v>
      </c>
      <c r="J82" s="10" t="s">
        <v>359</v>
      </c>
      <c r="K82" s="10" t="s">
        <v>717</v>
      </c>
      <c r="L82" s="11" t="str">
        <f>IF(I82&gt;=50,"ناجح","راسب")</f>
        <v>ناجح</v>
      </c>
      <c r="M82" s="11" t="str">
        <f>IF(I82&gt;=90,"امتياز",IF(I82&gt;=80,"جيدجدا",IF(I82&gt;=70,"جيد",IF(I82&gt;=60,"متوسط ",IF(I82&gt;=50,"مقبول","ضعيف")))))</f>
        <v>مقبول</v>
      </c>
      <c r="N82" s="7">
        <v>15</v>
      </c>
      <c r="O82" s="7" t="s">
        <v>6</v>
      </c>
      <c r="P82" s="7">
        <v>27</v>
      </c>
      <c r="Q82" s="7">
        <v>57</v>
      </c>
      <c r="R82" s="17">
        <v>47.37</v>
      </c>
      <c r="S82" s="17"/>
      <c r="T82" s="17"/>
      <c r="U82" s="17"/>
    </row>
    <row r="83" spans="1:21" ht="24" customHeight="1" thickBot="1" x14ac:dyDescent="0.3">
      <c r="A83" s="6">
        <v>82</v>
      </c>
      <c r="B83" s="13" t="s">
        <v>88</v>
      </c>
      <c r="C83" s="15" t="s">
        <v>441</v>
      </c>
      <c r="D83" s="8" t="s">
        <v>119</v>
      </c>
      <c r="E83" s="9">
        <v>55</v>
      </c>
      <c r="F83" s="9">
        <v>5</v>
      </c>
      <c r="G83" s="9">
        <f>F83+E83</f>
        <v>60</v>
      </c>
      <c r="H83" s="9">
        <v>0</v>
      </c>
      <c r="I83" s="9">
        <f>H83+G83</f>
        <v>60</v>
      </c>
      <c r="J83" s="10" t="s">
        <v>359</v>
      </c>
      <c r="K83" s="10" t="s">
        <v>717</v>
      </c>
      <c r="L83" s="11" t="str">
        <f>IF(I83&gt;=50,"ناجح","راسب")</f>
        <v>ناجح</v>
      </c>
      <c r="M83" s="11" t="str">
        <f>IF(I83&gt;=90,"امتياز",IF(I83&gt;=80,"جيدجدا",IF(I83&gt;=70,"جيد",IF(I83&gt;=60,"متوسط ",IF(I83&gt;=50,"مقبول","ضعيف")))))</f>
        <v xml:space="preserve">متوسط </v>
      </c>
      <c r="N83" s="7">
        <v>13</v>
      </c>
      <c r="O83" s="7" t="s">
        <v>6</v>
      </c>
      <c r="P83" s="7">
        <v>27</v>
      </c>
      <c r="Q83" s="7">
        <v>57</v>
      </c>
      <c r="R83" s="17">
        <v>47.37</v>
      </c>
      <c r="S83" s="17"/>
      <c r="T83" s="17"/>
      <c r="U83" s="17"/>
    </row>
    <row r="84" spans="1:21" ht="24" customHeight="1" thickBot="1" x14ac:dyDescent="0.3">
      <c r="A84" s="6">
        <v>83</v>
      </c>
      <c r="B84" s="13" t="s">
        <v>232</v>
      </c>
      <c r="C84" s="15" t="s">
        <v>442</v>
      </c>
      <c r="D84" s="8" t="s">
        <v>119</v>
      </c>
      <c r="E84" s="9">
        <v>0</v>
      </c>
      <c r="F84" s="9">
        <v>0</v>
      </c>
      <c r="G84" s="9">
        <f>F84+E84</f>
        <v>0</v>
      </c>
      <c r="H84" s="9">
        <v>0</v>
      </c>
      <c r="I84" s="9">
        <f>H84+G84</f>
        <v>0</v>
      </c>
      <c r="J84" s="10" t="s">
        <v>359</v>
      </c>
      <c r="K84" s="10" t="s">
        <v>717</v>
      </c>
      <c r="L84" s="11" t="str">
        <f>IF(I84&gt;=50,"ناجح","راسب")</f>
        <v>راسب</v>
      </c>
      <c r="M84" s="11" t="str">
        <f>IF(I84&gt;=90,"امتياز",IF(I84&gt;=80,"جيدجدا",IF(I84&gt;=70,"جيد",IF(I84&gt;=60,"متوسط ",IF(I84&gt;=50,"مقبول","ضعيف")))))</f>
        <v>ضعيف</v>
      </c>
      <c r="N84" s="7"/>
      <c r="O84" s="7"/>
      <c r="P84" s="7">
        <v>27</v>
      </c>
      <c r="Q84" s="7">
        <v>57</v>
      </c>
      <c r="R84" s="17">
        <v>47.37</v>
      </c>
      <c r="S84" s="17"/>
      <c r="T84" s="17"/>
      <c r="U84" s="17"/>
    </row>
    <row r="85" spans="1:21" ht="24" customHeight="1" thickBot="1" x14ac:dyDescent="0.3">
      <c r="A85" s="6">
        <v>84</v>
      </c>
      <c r="B85" s="13" t="s">
        <v>89</v>
      </c>
      <c r="C85" s="15" t="s">
        <v>443</v>
      </c>
      <c r="D85" s="8" t="s">
        <v>119</v>
      </c>
      <c r="E85" s="9">
        <v>59</v>
      </c>
      <c r="F85" s="9">
        <v>20</v>
      </c>
      <c r="G85" s="9">
        <f>F85+E85</f>
        <v>79</v>
      </c>
      <c r="H85" s="9">
        <v>0</v>
      </c>
      <c r="I85" s="9">
        <f>H85+G85</f>
        <v>79</v>
      </c>
      <c r="J85" s="10" t="s">
        <v>359</v>
      </c>
      <c r="K85" s="10" t="s">
        <v>717</v>
      </c>
      <c r="L85" s="11" t="str">
        <f>IF(I85&gt;=50,"ناجح","راسب")</f>
        <v>ناجح</v>
      </c>
      <c r="M85" s="11" t="str">
        <f>IF(I85&gt;=90,"امتياز",IF(I85&gt;=80,"جيدجدا",IF(I85&gt;=70,"جيد",IF(I85&gt;=60,"متوسط ",IF(I85&gt;=50,"مقبول","ضعيف")))))</f>
        <v>جيد</v>
      </c>
      <c r="N85" s="7">
        <v>1</v>
      </c>
      <c r="O85" s="7" t="s">
        <v>6</v>
      </c>
      <c r="P85" s="7">
        <v>27</v>
      </c>
      <c r="Q85" s="7">
        <v>57</v>
      </c>
      <c r="R85" s="17">
        <v>47.37</v>
      </c>
      <c r="S85" s="17"/>
      <c r="T85" s="17"/>
      <c r="U85" s="17"/>
    </row>
    <row r="86" spans="1:21" ht="24" customHeight="1" thickBot="1" x14ac:dyDescent="0.3">
      <c r="A86" s="6">
        <v>85</v>
      </c>
      <c r="B86" s="13" t="s">
        <v>90</v>
      </c>
      <c r="C86" s="15" t="s">
        <v>444</v>
      </c>
      <c r="D86" s="8" t="s">
        <v>119</v>
      </c>
      <c r="E86" s="9">
        <v>59</v>
      </c>
      <c r="F86" s="9">
        <v>0</v>
      </c>
      <c r="G86" s="9">
        <f>F86+E86</f>
        <v>59</v>
      </c>
      <c r="H86" s="9">
        <v>0</v>
      </c>
      <c r="I86" s="9">
        <f>H86+G86</f>
        <v>59</v>
      </c>
      <c r="J86" s="10" t="s">
        <v>359</v>
      </c>
      <c r="K86" s="10" t="s">
        <v>717</v>
      </c>
      <c r="L86" s="11" t="str">
        <f>IF(I86&gt;=50,"ناجح","راسب")</f>
        <v>ناجح</v>
      </c>
      <c r="M86" s="11" t="str">
        <f>IF(I86&gt;=90,"امتياز",IF(I86&gt;=80,"جيدجدا",IF(I86&gt;=70,"جيد",IF(I86&gt;=60,"متوسط ",IF(I86&gt;=50,"مقبول","ضعيف")))))</f>
        <v>مقبول</v>
      </c>
      <c r="N86" s="7">
        <v>14</v>
      </c>
      <c r="O86" s="7" t="s">
        <v>6</v>
      </c>
      <c r="P86" s="7">
        <v>27</v>
      </c>
      <c r="Q86" s="7">
        <v>57</v>
      </c>
      <c r="R86" s="17">
        <v>47.37</v>
      </c>
      <c r="S86" s="17"/>
      <c r="T86" s="17"/>
      <c r="U86" s="17"/>
    </row>
    <row r="87" spans="1:21" ht="24" customHeight="1" thickBot="1" x14ac:dyDescent="0.3">
      <c r="A87" s="6">
        <v>86</v>
      </c>
      <c r="B87" s="13" t="s">
        <v>91</v>
      </c>
      <c r="C87" s="15" t="s">
        <v>445</v>
      </c>
      <c r="D87" s="8" t="s">
        <v>119</v>
      </c>
      <c r="E87" s="9">
        <v>0</v>
      </c>
      <c r="F87" s="9">
        <v>0</v>
      </c>
      <c r="G87" s="9">
        <f>F87+E87</f>
        <v>0</v>
      </c>
      <c r="H87" s="9">
        <v>0</v>
      </c>
      <c r="I87" s="9">
        <f>H87+G87</f>
        <v>0</v>
      </c>
      <c r="J87" s="10" t="s">
        <v>359</v>
      </c>
      <c r="K87" s="10" t="s">
        <v>717</v>
      </c>
      <c r="L87" s="11" t="str">
        <f>IF(I87&gt;=50,"ناجح","راسب")</f>
        <v>راسب</v>
      </c>
      <c r="M87" s="11" t="str">
        <f>IF(I87&gt;=90,"امتياز",IF(I87&gt;=80,"جيدجدا",IF(I87&gt;=70,"جيد",IF(I87&gt;=60,"متوسط ",IF(I87&gt;=50,"مقبول","ضعيف")))))</f>
        <v>ضعيف</v>
      </c>
      <c r="N87" s="7"/>
      <c r="O87" s="7"/>
      <c r="P87" s="7">
        <v>27</v>
      </c>
      <c r="Q87" s="7">
        <v>57</v>
      </c>
      <c r="R87" s="17">
        <v>47.37</v>
      </c>
      <c r="S87" s="17"/>
      <c r="T87" s="17"/>
      <c r="U87" s="17"/>
    </row>
    <row r="88" spans="1:21" ht="24" customHeight="1" thickBot="1" x14ac:dyDescent="0.3">
      <c r="A88" s="6">
        <v>87</v>
      </c>
      <c r="B88" s="13" t="s">
        <v>92</v>
      </c>
      <c r="C88" s="15" t="s">
        <v>446</v>
      </c>
      <c r="D88" s="8" t="s">
        <v>119</v>
      </c>
      <c r="E88" s="9">
        <v>64</v>
      </c>
      <c r="F88" s="9">
        <v>0</v>
      </c>
      <c r="G88" s="9">
        <f>F88+E88</f>
        <v>64</v>
      </c>
      <c r="H88" s="9">
        <v>0</v>
      </c>
      <c r="I88" s="9">
        <f>H88+G88</f>
        <v>64</v>
      </c>
      <c r="J88" s="10" t="s">
        <v>359</v>
      </c>
      <c r="K88" s="10" t="s">
        <v>717</v>
      </c>
      <c r="L88" s="11" t="str">
        <f>IF(I88&gt;=50,"ناجح","راسب")</f>
        <v>ناجح</v>
      </c>
      <c r="M88" s="11" t="str">
        <f>IF(I88&gt;=90,"امتياز",IF(I88&gt;=80,"جيدجدا",IF(I88&gt;=70,"جيد",IF(I88&gt;=60,"متوسط ",IF(I88&gt;=50,"مقبول","ضعيف")))))</f>
        <v xml:space="preserve">متوسط </v>
      </c>
      <c r="N88" s="7">
        <v>11</v>
      </c>
      <c r="O88" s="7" t="s">
        <v>6</v>
      </c>
      <c r="P88" s="7">
        <v>27</v>
      </c>
      <c r="Q88" s="7">
        <v>57</v>
      </c>
      <c r="R88" s="17">
        <v>47.37</v>
      </c>
      <c r="S88" s="17"/>
      <c r="T88" s="17"/>
      <c r="U88" s="17"/>
    </row>
    <row r="89" spans="1:21" ht="24" customHeight="1" thickBot="1" x14ac:dyDescent="0.3">
      <c r="A89" s="6">
        <v>88</v>
      </c>
      <c r="B89" s="13" t="s">
        <v>93</v>
      </c>
      <c r="C89" s="15" t="s">
        <v>447</v>
      </c>
      <c r="D89" s="8" t="s">
        <v>119</v>
      </c>
      <c r="E89" s="9">
        <v>60</v>
      </c>
      <c r="F89" s="9">
        <v>5</v>
      </c>
      <c r="G89" s="9">
        <f>F89+E89</f>
        <v>65</v>
      </c>
      <c r="H89" s="9">
        <v>0</v>
      </c>
      <c r="I89" s="9">
        <f>H89+G89</f>
        <v>65</v>
      </c>
      <c r="J89" s="10" t="s">
        <v>359</v>
      </c>
      <c r="K89" s="10" t="s">
        <v>717</v>
      </c>
      <c r="L89" s="11" t="str">
        <f>IF(I89&gt;=50,"ناجح","راسب")</f>
        <v>ناجح</v>
      </c>
      <c r="M89" s="11" t="str">
        <f>IF(I89&gt;=90,"امتياز",IF(I89&gt;=80,"جيدجدا",IF(I89&gt;=70,"جيد",IF(I89&gt;=60,"متوسط ",IF(I89&gt;=50,"مقبول","ضعيف")))))</f>
        <v xml:space="preserve">متوسط </v>
      </c>
      <c r="N89" s="7">
        <v>10</v>
      </c>
      <c r="O89" s="7" t="s">
        <v>6</v>
      </c>
      <c r="P89" s="7">
        <v>27</v>
      </c>
      <c r="Q89" s="7">
        <v>57</v>
      </c>
      <c r="R89" s="17">
        <v>47.37</v>
      </c>
      <c r="S89" s="17"/>
      <c r="T89" s="17"/>
      <c r="U89" s="17"/>
    </row>
    <row r="90" spans="1:21" ht="24" customHeight="1" thickBot="1" x14ac:dyDescent="0.3">
      <c r="A90" s="6">
        <v>89</v>
      </c>
      <c r="B90" s="13" t="s">
        <v>94</v>
      </c>
      <c r="C90" s="15" t="s">
        <v>448</v>
      </c>
      <c r="D90" s="8" t="s">
        <v>119</v>
      </c>
      <c r="E90" s="9">
        <v>48</v>
      </c>
      <c r="F90" s="9">
        <v>12</v>
      </c>
      <c r="G90" s="9">
        <f>F90+E90</f>
        <v>60</v>
      </c>
      <c r="H90" s="9">
        <v>0</v>
      </c>
      <c r="I90" s="9">
        <f>H90+G90</f>
        <v>60</v>
      </c>
      <c r="J90" s="10" t="s">
        <v>359</v>
      </c>
      <c r="K90" s="10" t="s">
        <v>717</v>
      </c>
      <c r="L90" s="11" t="str">
        <f>IF(I90&gt;=50,"ناجح","راسب")</f>
        <v>ناجح</v>
      </c>
      <c r="M90" s="11" t="str">
        <f>IF(I90&gt;=90,"امتياز",IF(I90&gt;=80,"جيدجدا",IF(I90&gt;=70,"جيد",IF(I90&gt;=60,"متوسط ",IF(I90&gt;=50,"مقبول","ضعيف")))))</f>
        <v xml:space="preserve">متوسط </v>
      </c>
      <c r="N90" s="7">
        <v>13</v>
      </c>
      <c r="O90" s="7" t="s">
        <v>6</v>
      </c>
      <c r="P90" s="7">
        <v>27</v>
      </c>
      <c r="Q90" s="7">
        <v>57</v>
      </c>
      <c r="R90" s="17">
        <v>47.37</v>
      </c>
      <c r="S90" s="17"/>
      <c r="T90" s="17"/>
      <c r="U90" s="17"/>
    </row>
    <row r="91" spans="1:21" ht="24" customHeight="1" thickBot="1" x14ac:dyDescent="0.3">
      <c r="A91" s="6">
        <v>90</v>
      </c>
      <c r="B91" s="13" t="s">
        <v>95</v>
      </c>
      <c r="C91" s="15" t="s">
        <v>449</v>
      </c>
      <c r="D91" s="8" t="s">
        <v>119</v>
      </c>
      <c r="E91" s="9">
        <v>52</v>
      </c>
      <c r="F91" s="9">
        <v>2</v>
      </c>
      <c r="G91" s="9">
        <f>F91+E91</f>
        <v>54</v>
      </c>
      <c r="H91" s="9">
        <v>0</v>
      </c>
      <c r="I91" s="9">
        <f>H91+G91</f>
        <v>54</v>
      </c>
      <c r="J91" s="10" t="s">
        <v>359</v>
      </c>
      <c r="K91" s="10" t="s">
        <v>717</v>
      </c>
      <c r="L91" s="11" t="str">
        <f>IF(I91&gt;=50,"ناجح","راسب")</f>
        <v>ناجح</v>
      </c>
      <c r="M91" s="11" t="str">
        <f>IF(I91&gt;=90,"امتياز",IF(I91&gt;=80,"جيدجدا",IF(I91&gt;=70,"جيد",IF(I91&gt;=60,"متوسط ",IF(I91&gt;=50,"مقبول","ضعيف")))))</f>
        <v>مقبول</v>
      </c>
      <c r="N91" s="7">
        <v>18</v>
      </c>
      <c r="O91" s="7" t="s">
        <v>6</v>
      </c>
      <c r="P91" s="7">
        <v>27</v>
      </c>
      <c r="Q91" s="7">
        <v>57</v>
      </c>
      <c r="R91" s="17">
        <v>47.37</v>
      </c>
      <c r="S91" s="17"/>
      <c r="T91" s="17"/>
      <c r="U91" s="17"/>
    </row>
    <row r="92" spans="1:21" ht="24" customHeight="1" thickBot="1" x14ac:dyDescent="0.3">
      <c r="A92" s="6">
        <v>91</v>
      </c>
      <c r="B92" s="13" t="s">
        <v>96</v>
      </c>
      <c r="C92" s="15" t="s">
        <v>450</v>
      </c>
      <c r="D92" s="8" t="s">
        <v>119</v>
      </c>
      <c r="E92" s="9">
        <v>27</v>
      </c>
      <c r="F92" s="9">
        <v>0</v>
      </c>
      <c r="G92" s="9">
        <f>F92+E92</f>
        <v>27</v>
      </c>
      <c r="H92" s="9">
        <v>0</v>
      </c>
      <c r="I92" s="9">
        <f>H92+G92</f>
        <v>27</v>
      </c>
      <c r="J92" s="10" t="s">
        <v>359</v>
      </c>
      <c r="K92" s="10" t="s">
        <v>717</v>
      </c>
      <c r="L92" s="11" t="str">
        <f>IF(I92&gt;=50,"ناجح","راسب")</f>
        <v>راسب</v>
      </c>
      <c r="M92" s="11" t="str">
        <f>IF(I92&gt;=90,"امتياز",IF(I92&gt;=80,"جيدجدا",IF(I92&gt;=70,"جيد",IF(I92&gt;=60,"متوسط ",IF(I92&gt;=50,"مقبول","ضعيف")))))</f>
        <v>ضعيف</v>
      </c>
      <c r="N92" s="7"/>
      <c r="O92" s="7"/>
      <c r="P92" s="7">
        <v>27</v>
      </c>
      <c r="Q92" s="7">
        <v>57</v>
      </c>
      <c r="R92" s="17">
        <v>47.37</v>
      </c>
      <c r="S92" s="17"/>
      <c r="T92" s="17"/>
      <c r="U92" s="17"/>
    </row>
    <row r="93" spans="1:21" ht="24" customHeight="1" thickBot="1" x14ac:dyDescent="0.3">
      <c r="A93" s="6">
        <v>92</v>
      </c>
      <c r="B93" s="13" t="s">
        <v>97</v>
      </c>
      <c r="C93" s="15" t="s">
        <v>451</v>
      </c>
      <c r="D93" s="8" t="s">
        <v>119</v>
      </c>
      <c r="E93" s="9">
        <v>43</v>
      </c>
      <c r="F93" s="9">
        <v>6</v>
      </c>
      <c r="G93" s="9">
        <f>F93+E93</f>
        <v>49</v>
      </c>
      <c r="H93" s="9">
        <v>0</v>
      </c>
      <c r="I93" s="9">
        <f>H93+G93</f>
        <v>49</v>
      </c>
      <c r="J93" s="10" t="s">
        <v>359</v>
      </c>
      <c r="K93" s="10" t="s">
        <v>717</v>
      </c>
      <c r="L93" s="11" t="str">
        <f>IF(I93&gt;=50,"ناجح","راسب")</f>
        <v>راسب</v>
      </c>
      <c r="M93" s="11" t="str">
        <f>IF(I93&gt;=90,"امتياز",IF(I93&gt;=80,"جيدجدا",IF(I93&gt;=70,"جيد",IF(I93&gt;=60,"متوسط ",IF(I93&gt;=50,"مقبول","ضعيف")))))</f>
        <v>ضعيف</v>
      </c>
      <c r="N93" s="7"/>
      <c r="O93" s="7"/>
      <c r="P93" s="7">
        <v>27</v>
      </c>
      <c r="Q93" s="7">
        <v>57</v>
      </c>
      <c r="R93" s="17">
        <v>47.37</v>
      </c>
      <c r="S93" s="17"/>
      <c r="T93" s="17"/>
      <c r="U93" s="17"/>
    </row>
    <row r="94" spans="1:21" ht="24" customHeight="1" thickBot="1" x14ac:dyDescent="0.3">
      <c r="A94" s="6">
        <v>93</v>
      </c>
      <c r="B94" s="13" t="s">
        <v>233</v>
      </c>
      <c r="C94" s="15" t="s">
        <v>452</v>
      </c>
      <c r="D94" s="8" t="s">
        <v>119</v>
      </c>
      <c r="E94" s="9">
        <v>0</v>
      </c>
      <c r="F94" s="9">
        <v>0</v>
      </c>
      <c r="G94" s="9">
        <f>F94+E94</f>
        <v>0</v>
      </c>
      <c r="H94" s="9">
        <v>0</v>
      </c>
      <c r="I94" s="9">
        <f>H94+G94</f>
        <v>0</v>
      </c>
      <c r="J94" s="10" t="s">
        <v>359</v>
      </c>
      <c r="K94" s="10" t="s">
        <v>717</v>
      </c>
      <c r="L94" s="11" t="str">
        <f>IF(I94&gt;=50,"ناجح","راسب")</f>
        <v>راسب</v>
      </c>
      <c r="M94" s="11" t="str">
        <f>IF(I94&gt;=90,"امتياز",IF(I94&gt;=80,"جيدجدا",IF(I94&gt;=70,"جيد",IF(I94&gt;=60,"متوسط ",IF(I94&gt;=50,"مقبول","ضعيف")))))</f>
        <v>ضعيف</v>
      </c>
      <c r="N94" s="7"/>
      <c r="O94" s="7"/>
      <c r="P94" s="7">
        <v>27</v>
      </c>
      <c r="Q94" s="7">
        <v>57</v>
      </c>
      <c r="R94" s="17">
        <v>47.37</v>
      </c>
      <c r="S94" s="17"/>
      <c r="T94" s="17"/>
      <c r="U94" s="17"/>
    </row>
    <row r="95" spans="1:21" ht="24" customHeight="1" thickBot="1" x14ac:dyDescent="0.3">
      <c r="A95" s="6">
        <v>94</v>
      </c>
      <c r="B95" s="13" t="s">
        <v>234</v>
      </c>
      <c r="C95" s="15" t="s">
        <v>453</v>
      </c>
      <c r="D95" s="8" t="s">
        <v>119</v>
      </c>
      <c r="E95" s="9">
        <v>0</v>
      </c>
      <c r="F95" s="9">
        <v>0</v>
      </c>
      <c r="G95" s="9">
        <f>F95+E95</f>
        <v>0</v>
      </c>
      <c r="H95" s="9">
        <v>0</v>
      </c>
      <c r="I95" s="9">
        <f>H95+G95</f>
        <v>0</v>
      </c>
      <c r="J95" s="10" t="s">
        <v>359</v>
      </c>
      <c r="K95" s="10" t="s">
        <v>717</v>
      </c>
      <c r="L95" s="11" t="str">
        <f>IF(I95&gt;=50,"ناجح","راسب")</f>
        <v>راسب</v>
      </c>
      <c r="M95" s="11" t="str">
        <f>IF(I95&gt;=90,"امتياز",IF(I95&gt;=80,"جيدجدا",IF(I95&gt;=70,"جيد",IF(I95&gt;=60,"متوسط ",IF(I95&gt;=50,"مقبول","ضعيف")))))</f>
        <v>ضعيف</v>
      </c>
      <c r="N95" s="7"/>
      <c r="O95" s="7"/>
      <c r="P95" s="7">
        <v>27</v>
      </c>
      <c r="Q95" s="7">
        <v>57</v>
      </c>
      <c r="R95" s="17">
        <v>47.37</v>
      </c>
      <c r="S95" s="17"/>
      <c r="T95" s="17"/>
      <c r="U95" s="17"/>
    </row>
    <row r="96" spans="1:21" ht="24" customHeight="1" thickBot="1" x14ac:dyDescent="0.3">
      <c r="A96" s="6">
        <v>95</v>
      </c>
      <c r="B96" s="13" t="s">
        <v>98</v>
      </c>
      <c r="C96" s="15" t="s">
        <v>454</v>
      </c>
      <c r="D96" s="8" t="s">
        <v>119</v>
      </c>
      <c r="E96" s="9">
        <v>55</v>
      </c>
      <c r="F96" s="9">
        <v>15</v>
      </c>
      <c r="G96" s="9">
        <f>F96+E96</f>
        <v>70</v>
      </c>
      <c r="H96" s="9">
        <v>0</v>
      </c>
      <c r="I96" s="9">
        <f>H96+G96</f>
        <v>70</v>
      </c>
      <c r="J96" s="10" t="s">
        <v>359</v>
      </c>
      <c r="K96" s="10" t="s">
        <v>717</v>
      </c>
      <c r="L96" s="11" t="str">
        <f>IF(I96&gt;=50,"ناجح","راسب")</f>
        <v>ناجح</v>
      </c>
      <c r="M96" s="11" t="str">
        <f>IF(I96&gt;=90,"امتياز",IF(I96&gt;=80,"جيدجدا",IF(I96&gt;=70,"جيد",IF(I96&gt;=60,"متوسط ",IF(I96&gt;=50,"مقبول","ضعيف")))))</f>
        <v>جيد</v>
      </c>
      <c r="N96" s="7">
        <v>7</v>
      </c>
      <c r="O96" s="7" t="s">
        <v>6</v>
      </c>
      <c r="P96" s="7">
        <v>27</v>
      </c>
      <c r="Q96" s="7">
        <v>57</v>
      </c>
      <c r="R96" s="17">
        <v>47.37</v>
      </c>
      <c r="S96" s="17"/>
      <c r="T96" s="17"/>
      <c r="U96" s="17"/>
    </row>
    <row r="97" spans="1:21" ht="24" customHeight="1" thickBot="1" x14ac:dyDescent="0.3">
      <c r="A97" s="6">
        <v>96</v>
      </c>
      <c r="B97" s="13" t="s">
        <v>99</v>
      </c>
      <c r="C97" s="15" t="s">
        <v>455</v>
      </c>
      <c r="D97" s="8" t="s">
        <v>119</v>
      </c>
      <c r="E97" s="9">
        <v>50</v>
      </c>
      <c r="F97" s="9">
        <v>0</v>
      </c>
      <c r="G97" s="9">
        <f>F97+E97</f>
        <v>50</v>
      </c>
      <c r="H97" s="9">
        <v>0</v>
      </c>
      <c r="I97" s="9">
        <f>H97+G97</f>
        <v>50</v>
      </c>
      <c r="J97" s="10" t="s">
        <v>359</v>
      </c>
      <c r="K97" s="10" t="s">
        <v>717</v>
      </c>
      <c r="L97" s="11" t="str">
        <f>IF(I97&gt;=50,"ناجح","راسب")</f>
        <v>ناجح</v>
      </c>
      <c r="M97" s="11" t="str">
        <f>IF(I97&gt;=90,"امتياز",IF(I97&gt;=80,"جيدجدا",IF(I97&gt;=70,"جيد",IF(I97&gt;=60,"متوسط ",IF(I97&gt;=50,"مقبول","ضعيف")))))</f>
        <v>مقبول</v>
      </c>
      <c r="N97" s="7">
        <v>21</v>
      </c>
      <c r="O97" s="7" t="s">
        <v>6</v>
      </c>
      <c r="P97" s="7">
        <v>27</v>
      </c>
      <c r="Q97" s="7">
        <v>57</v>
      </c>
      <c r="R97" s="17">
        <v>47.37</v>
      </c>
      <c r="S97" s="17"/>
      <c r="T97" s="17"/>
      <c r="U97" s="17"/>
    </row>
    <row r="98" spans="1:21" ht="24" customHeight="1" thickBot="1" x14ac:dyDescent="0.3">
      <c r="A98" s="6">
        <v>97</v>
      </c>
      <c r="B98" s="13" t="s">
        <v>100</v>
      </c>
      <c r="C98" s="15" t="s">
        <v>456</v>
      </c>
      <c r="D98" s="8" t="s">
        <v>119</v>
      </c>
      <c r="E98" s="9">
        <v>41</v>
      </c>
      <c r="F98" s="9">
        <v>6</v>
      </c>
      <c r="G98" s="9">
        <f>F98+E98</f>
        <v>47</v>
      </c>
      <c r="H98" s="9">
        <v>0</v>
      </c>
      <c r="I98" s="9">
        <f>H98+G98</f>
        <v>47</v>
      </c>
      <c r="J98" s="10" t="s">
        <v>359</v>
      </c>
      <c r="K98" s="10" t="s">
        <v>717</v>
      </c>
      <c r="L98" s="11" t="str">
        <f>IF(I98&gt;=50,"ناجح","راسب")</f>
        <v>راسب</v>
      </c>
      <c r="M98" s="11" t="str">
        <f>IF(I98&gt;=90,"امتياز",IF(I98&gt;=80,"جيدجدا",IF(I98&gt;=70,"جيد",IF(I98&gt;=60,"متوسط ",IF(I98&gt;=50,"مقبول","ضعيف")))))</f>
        <v>ضعيف</v>
      </c>
      <c r="N98" s="7"/>
      <c r="O98" s="7"/>
      <c r="P98" s="7">
        <v>27</v>
      </c>
      <c r="Q98" s="7">
        <v>57</v>
      </c>
      <c r="R98" s="17">
        <v>47.37</v>
      </c>
      <c r="S98" s="17"/>
      <c r="T98" s="17"/>
      <c r="U98" s="17"/>
    </row>
    <row r="99" spans="1:21" ht="24" customHeight="1" thickBot="1" x14ac:dyDescent="0.3">
      <c r="A99" s="6">
        <v>98</v>
      </c>
      <c r="B99" s="13" t="s">
        <v>101</v>
      </c>
      <c r="C99" s="15" t="s">
        <v>457</v>
      </c>
      <c r="D99" s="8" t="s">
        <v>119</v>
      </c>
      <c r="E99" s="9">
        <v>44</v>
      </c>
      <c r="F99" s="9">
        <v>0</v>
      </c>
      <c r="G99" s="9">
        <f>F99+E99</f>
        <v>44</v>
      </c>
      <c r="H99" s="9">
        <v>0</v>
      </c>
      <c r="I99" s="9">
        <f>H99+G99</f>
        <v>44</v>
      </c>
      <c r="J99" s="10" t="s">
        <v>359</v>
      </c>
      <c r="K99" s="10" t="s">
        <v>717</v>
      </c>
      <c r="L99" s="11" t="str">
        <f>IF(I99&gt;=50,"ناجح","راسب")</f>
        <v>راسب</v>
      </c>
      <c r="M99" s="11" t="str">
        <f>IF(I99&gt;=90,"امتياز",IF(I99&gt;=80,"جيدجدا",IF(I99&gt;=70,"جيد",IF(I99&gt;=60,"متوسط ",IF(I99&gt;=50,"مقبول","ضعيف")))))</f>
        <v>ضعيف</v>
      </c>
      <c r="N99" s="7"/>
      <c r="O99" s="7"/>
      <c r="P99" s="7">
        <v>27</v>
      </c>
      <c r="Q99" s="7">
        <v>57</v>
      </c>
      <c r="R99" s="17">
        <v>47.37</v>
      </c>
      <c r="S99" s="17"/>
      <c r="T99" s="17"/>
      <c r="U99" s="17"/>
    </row>
    <row r="100" spans="1:21" ht="24" customHeight="1" thickBot="1" x14ac:dyDescent="0.3">
      <c r="A100" s="6">
        <v>99</v>
      </c>
      <c r="B100" s="13" t="s">
        <v>102</v>
      </c>
      <c r="C100" s="15" t="s">
        <v>458</v>
      </c>
      <c r="D100" s="8" t="s">
        <v>119</v>
      </c>
      <c r="E100" s="9">
        <v>0</v>
      </c>
      <c r="F100" s="9">
        <v>0</v>
      </c>
      <c r="G100" s="9">
        <f>F100+E100</f>
        <v>0</v>
      </c>
      <c r="H100" s="9">
        <v>0</v>
      </c>
      <c r="I100" s="9">
        <f>H100+G100</f>
        <v>0</v>
      </c>
      <c r="J100" s="10" t="s">
        <v>359</v>
      </c>
      <c r="K100" s="10" t="s">
        <v>717</v>
      </c>
      <c r="L100" s="11" t="str">
        <f>IF(I100&gt;=50,"ناجح","راسب")</f>
        <v>راسب</v>
      </c>
      <c r="M100" s="11" t="str">
        <f>IF(I100&gt;=90,"امتياز",IF(I100&gt;=80,"جيدجدا",IF(I100&gt;=70,"جيد",IF(I100&gt;=60,"متوسط ",IF(I100&gt;=50,"مقبول","ضعيف")))))</f>
        <v>ضعيف</v>
      </c>
      <c r="N100" s="7"/>
      <c r="O100" s="7"/>
      <c r="P100" s="7">
        <v>27</v>
      </c>
      <c r="Q100" s="7">
        <v>57</v>
      </c>
      <c r="R100" s="17">
        <v>47.37</v>
      </c>
      <c r="S100" s="17"/>
      <c r="T100" s="17"/>
      <c r="U100" s="17"/>
    </row>
    <row r="101" spans="1:21" ht="24" customHeight="1" thickBot="1" x14ac:dyDescent="0.3">
      <c r="A101" s="6">
        <v>100</v>
      </c>
      <c r="B101" s="13" t="s">
        <v>103</v>
      </c>
      <c r="C101" s="15" t="s">
        <v>459</v>
      </c>
      <c r="D101" s="8" t="s">
        <v>119</v>
      </c>
      <c r="E101" s="9">
        <v>60</v>
      </c>
      <c r="F101" s="9">
        <v>13</v>
      </c>
      <c r="G101" s="9">
        <f>F101+E101</f>
        <v>73</v>
      </c>
      <c r="H101" s="9">
        <v>0</v>
      </c>
      <c r="I101" s="9">
        <f>H101+G101</f>
        <v>73</v>
      </c>
      <c r="J101" s="10" t="s">
        <v>359</v>
      </c>
      <c r="K101" s="10" t="s">
        <v>717</v>
      </c>
      <c r="L101" s="11" t="str">
        <f>IF(I101&gt;=50,"ناجح","راسب")</f>
        <v>ناجح</v>
      </c>
      <c r="M101" s="11" t="str">
        <f>IF(I101&gt;=90,"امتياز",IF(I101&gt;=80,"جيدجدا",IF(I101&gt;=70,"جيد",IF(I101&gt;=60,"متوسط ",IF(I101&gt;=50,"مقبول","ضعيف")))))</f>
        <v>جيد</v>
      </c>
      <c r="N101" s="7">
        <v>5</v>
      </c>
      <c r="O101" s="7" t="s">
        <v>6</v>
      </c>
      <c r="P101" s="7">
        <v>27</v>
      </c>
      <c r="Q101" s="7">
        <v>57</v>
      </c>
      <c r="R101" s="17">
        <v>47.37</v>
      </c>
      <c r="S101" s="17"/>
      <c r="T101" s="17"/>
      <c r="U101" s="17"/>
    </row>
    <row r="102" spans="1:21" ht="24" customHeight="1" thickBot="1" x14ac:dyDescent="0.3">
      <c r="A102" s="6">
        <v>101</v>
      </c>
      <c r="B102" s="13" t="s">
        <v>235</v>
      </c>
      <c r="C102" s="15" t="s">
        <v>460</v>
      </c>
      <c r="D102" s="8" t="s">
        <v>119</v>
      </c>
      <c r="E102" s="9">
        <v>0</v>
      </c>
      <c r="F102" s="9">
        <v>0</v>
      </c>
      <c r="G102" s="9">
        <f>F102+E102</f>
        <v>0</v>
      </c>
      <c r="H102" s="9">
        <v>0</v>
      </c>
      <c r="I102" s="9">
        <f>H102+G102</f>
        <v>0</v>
      </c>
      <c r="J102" s="10" t="s">
        <v>359</v>
      </c>
      <c r="K102" s="10" t="s">
        <v>717</v>
      </c>
      <c r="L102" s="11" t="str">
        <f>IF(I102&gt;=50,"ناجح","راسب")</f>
        <v>راسب</v>
      </c>
      <c r="M102" s="11" t="str">
        <f>IF(I102&gt;=90,"امتياز",IF(I102&gt;=80,"جيدجدا",IF(I102&gt;=70,"جيد",IF(I102&gt;=60,"متوسط ",IF(I102&gt;=50,"مقبول","ضعيف")))))</f>
        <v>ضعيف</v>
      </c>
      <c r="N102" s="7"/>
      <c r="O102" s="7"/>
      <c r="P102" s="7">
        <v>27</v>
      </c>
      <c r="Q102" s="7">
        <v>57</v>
      </c>
      <c r="R102" s="17">
        <v>47.37</v>
      </c>
      <c r="S102" s="17"/>
      <c r="T102" s="17"/>
      <c r="U102" s="17"/>
    </row>
    <row r="103" spans="1:21" ht="24" customHeight="1" thickBot="1" x14ac:dyDescent="0.3">
      <c r="A103" s="6">
        <v>102</v>
      </c>
      <c r="B103" s="13" t="s">
        <v>104</v>
      </c>
      <c r="C103" s="15" t="s">
        <v>461</v>
      </c>
      <c r="D103" s="8" t="s">
        <v>119</v>
      </c>
      <c r="E103" s="9">
        <v>0</v>
      </c>
      <c r="F103" s="9">
        <v>0</v>
      </c>
      <c r="G103" s="9">
        <f>F103+E103</f>
        <v>0</v>
      </c>
      <c r="H103" s="9">
        <v>0</v>
      </c>
      <c r="I103" s="9">
        <f>H103+G103</f>
        <v>0</v>
      </c>
      <c r="J103" s="10" t="s">
        <v>359</v>
      </c>
      <c r="K103" s="10" t="s">
        <v>717</v>
      </c>
      <c r="L103" s="11" t="str">
        <f>IF(I103&gt;=50,"ناجح","راسب")</f>
        <v>راسب</v>
      </c>
      <c r="M103" s="11" t="str">
        <f>IF(I103&gt;=90,"امتياز",IF(I103&gt;=80,"جيدجدا",IF(I103&gt;=70,"جيد",IF(I103&gt;=60,"متوسط ",IF(I103&gt;=50,"مقبول","ضعيف")))))</f>
        <v>ضعيف</v>
      </c>
      <c r="N103" s="7"/>
      <c r="O103" s="7"/>
      <c r="P103" s="7">
        <v>27</v>
      </c>
      <c r="Q103" s="7">
        <v>57</v>
      </c>
      <c r="R103" s="17">
        <v>47.37</v>
      </c>
      <c r="S103" s="17"/>
      <c r="T103" s="17"/>
      <c r="U103" s="17"/>
    </row>
    <row r="104" spans="1:21" ht="24" customHeight="1" thickBot="1" x14ac:dyDescent="0.3">
      <c r="A104" s="6">
        <v>103</v>
      </c>
      <c r="B104" s="13" t="s">
        <v>105</v>
      </c>
      <c r="C104" s="15" t="s">
        <v>462</v>
      </c>
      <c r="D104" s="8" t="s">
        <v>119</v>
      </c>
      <c r="E104" s="9">
        <v>57</v>
      </c>
      <c r="F104" s="9">
        <v>20</v>
      </c>
      <c r="G104" s="9">
        <f>F104+E104</f>
        <v>77</v>
      </c>
      <c r="H104" s="9">
        <v>0</v>
      </c>
      <c r="I104" s="9">
        <f>H104+G104</f>
        <v>77</v>
      </c>
      <c r="J104" s="10" t="s">
        <v>359</v>
      </c>
      <c r="K104" s="10" t="s">
        <v>717</v>
      </c>
      <c r="L104" s="11" t="str">
        <f>IF(I104&gt;=50,"ناجح","راسب")</f>
        <v>ناجح</v>
      </c>
      <c r="M104" s="11" t="str">
        <f>IF(I104&gt;=90,"امتياز",IF(I104&gt;=80,"جيدجدا",IF(I104&gt;=70,"جيد",IF(I104&gt;=60,"متوسط ",IF(I104&gt;=50,"مقبول","ضعيف")))))</f>
        <v>جيد</v>
      </c>
      <c r="N104" s="7">
        <v>2</v>
      </c>
      <c r="O104" s="7" t="s">
        <v>6</v>
      </c>
      <c r="P104" s="7">
        <v>27</v>
      </c>
      <c r="Q104" s="7">
        <v>57</v>
      </c>
      <c r="R104" s="17">
        <v>47.37</v>
      </c>
      <c r="S104" s="17"/>
      <c r="T104" s="17"/>
      <c r="U104" s="17"/>
    </row>
    <row r="105" spans="1:21" ht="24" customHeight="1" thickBot="1" x14ac:dyDescent="0.3">
      <c r="A105" s="6">
        <v>104</v>
      </c>
      <c r="B105" s="13" t="s">
        <v>106</v>
      </c>
      <c r="C105" s="15" t="s">
        <v>463</v>
      </c>
      <c r="D105" s="8" t="s">
        <v>119</v>
      </c>
      <c r="E105" s="9">
        <v>0</v>
      </c>
      <c r="F105" s="9">
        <v>0</v>
      </c>
      <c r="G105" s="9">
        <f>F105+E105</f>
        <v>0</v>
      </c>
      <c r="H105" s="9">
        <v>0</v>
      </c>
      <c r="I105" s="9">
        <f>H105+G105</f>
        <v>0</v>
      </c>
      <c r="J105" s="10" t="s">
        <v>359</v>
      </c>
      <c r="K105" s="10" t="s">
        <v>717</v>
      </c>
      <c r="L105" s="11" t="str">
        <f>IF(I105&gt;=50,"ناجح","راسب")</f>
        <v>راسب</v>
      </c>
      <c r="M105" s="11" t="str">
        <f>IF(I105&gt;=90,"امتياز",IF(I105&gt;=80,"جيدجدا",IF(I105&gt;=70,"جيد",IF(I105&gt;=60,"متوسط ",IF(I105&gt;=50,"مقبول","ضعيف")))))</f>
        <v>ضعيف</v>
      </c>
      <c r="N105" s="7"/>
      <c r="O105" s="7"/>
      <c r="P105" s="7">
        <v>27</v>
      </c>
      <c r="Q105" s="7">
        <v>57</v>
      </c>
      <c r="R105" s="17">
        <v>47.37</v>
      </c>
      <c r="S105" s="17"/>
      <c r="T105" s="17"/>
      <c r="U105" s="17"/>
    </row>
    <row r="106" spans="1:21" ht="24" customHeight="1" thickBot="1" x14ac:dyDescent="0.3">
      <c r="A106" s="6">
        <v>105</v>
      </c>
      <c r="B106" s="13" t="s">
        <v>107</v>
      </c>
      <c r="C106" s="15" t="s">
        <v>464</v>
      </c>
      <c r="D106" s="8" t="s">
        <v>119</v>
      </c>
      <c r="E106" s="9">
        <v>55</v>
      </c>
      <c r="F106" s="9">
        <v>20</v>
      </c>
      <c r="G106" s="9">
        <f>F106+E106</f>
        <v>75</v>
      </c>
      <c r="H106" s="9">
        <v>0</v>
      </c>
      <c r="I106" s="9">
        <f>H106+G106</f>
        <v>75</v>
      </c>
      <c r="J106" s="10" t="s">
        <v>359</v>
      </c>
      <c r="K106" s="10" t="s">
        <v>717</v>
      </c>
      <c r="L106" s="11" t="str">
        <f>IF(I106&gt;=50,"ناجح","راسب")</f>
        <v>ناجح</v>
      </c>
      <c r="M106" s="11" t="str">
        <f>IF(I106&gt;=90,"امتياز",IF(I106&gt;=80,"جيدجدا",IF(I106&gt;=70,"جيد",IF(I106&gt;=60,"متوسط ",IF(I106&gt;=50,"مقبول","ضعيف")))))</f>
        <v>جيد</v>
      </c>
      <c r="N106" s="7">
        <v>3</v>
      </c>
      <c r="O106" s="7" t="s">
        <v>6</v>
      </c>
      <c r="P106" s="7">
        <v>27</v>
      </c>
      <c r="Q106" s="7">
        <v>57</v>
      </c>
      <c r="R106" s="17">
        <v>47.37</v>
      </c>
      <c r="S106" s="17"/>
      <c r="T106" s="17"/>
      <c r="U106" s="17"/>
    </row>
    <row r="107" spans="1:21" ht="24" customHeight="1" thickBot="1" x14ac:dyDescent="0.3">
      <c r="A107" s="6">
        <v>106</v>
      </c>
      <c r="B107" s="13" t="s">
        <v>108</v>
      </c>
      <c r="C107" s="15" t="s">
        <v>465</v>
      </c>
      <c r="D107" s="8" t="s">
        <v>119</v>
      </c>
      <c r="E107" s="9">
        <v>46</v>
      </c>
      <c r="F107" s="9">
        <v>0</v>
      </c>
      <c r="G107" s="9">
        <f>F107+E107</f>
        <v>46</v>
      </c>
      <c r="H107" s="9">
        <v>0</v>
      </c>
      <c r="I107" s="9">
        <f>H107+G107</f>
        <v>46</v>
      </c>
      <c r="J107" s="10" t="s">
        <v>359</v>
      </c>
      <c r="K107" s="10" t="s">
        <v>717</v>
      </c>
      <c r="L107" s="11" t="str">
        <f>IF(I107&gt;=50,"ناجح","راسب")</f>
        <v>راسب</v>
      </c>
      <c r="M107" s="11" t="str">
        <f>IF(I107&gt;=90,"امتياز",IF(I107&gt;=80,"جيدجدا",IF(I107&gt;=70,"جيد",IF(I107&gt;=60,"متوسط ",IF(I107&gt;=50,"مقبول","ضعيف")))))</f>
        <v>ضعيف</v>
      </c>
      <c r="N107" s="7"/>
      <c r="O107" s="7"/>
      <c r="P107" s="7">
        <v>27</v>
      </c>
      <c r="Q107" s="7">
        <v>57</v>
      </c>
      <c r="R107" s="17">
        <v>47.37</v>
      </c>
      <c r="S107" s="17"/>
      <c r="T107" s="17"/>
      <c r="U107" s="17"/>
    </row>
    <row r="108" spans="1:21" ht="24" customHeight="1" thickBot="1" x14ac:dyDescent="0.3">
      <c r="A108" s="6">
        <v>107</v>
      </c>
      <c r="B108" s="13" t="s">
        <v>109</v>
      </c>
      <c r="C108" s="15" t="s">
        <v>466</v>
      </c>
      <c r="D108" s="8" t="s">
        <v>119</v>
      </c>
      <c r="E108" s="9">
        <v>57</v>
      </c>
      <c r="F108" s="9">
        <v>15</v>
      </c>
      <c r="G108" s="9">
        <f>F108+E108</f>
        <v>72</v>
      </c>
      <c r="H108" s="9">
        <v>0</v>
      </c>
      <c r="I108" s="9">
        <f>H108+G108</f>
        <v>72</v>
      </c>
      <c r="J108" s="10" t="s">
        <v>359</v>
      </c>
      <c r="K108" s="10" t="s">
        <v>717</v>
      </c>
      <c r="L108" s="11" t="str">
        <f>IF(I108&gt;=50,"ناجح","راسب")</f>
        <v>ناجح</v>
      </c>
      <c r="M108" s="11" t="str">
        <f>IF(I108&gt;=90,"امتياز",IF(I108&gt;=80,"جيدجدا",IF(I108&gt;=70,"جيد",IF(I108&gt;=60,"متوسط ",IF(I108&gt;=50,"مقبول","ضعيف")))))</f>
        <v>جيد</v>
      </c>
      <c r="N108" s="7">
        <v>6</v>
      </c>
      <c r="O108" s="7" t="s">
        <v>6</v>
      </c>
      <c r="P108" s="7">
        <v>27</v>
      </c>
      <c r="Q108" s="7">
        <v>57</v>
      </c>
      <c r="R108" s="17">
        <v>47.37</v>
      </c>
      <c r="S108" s="17"/>
      <c r="T108" s="17"/>
      <c r="U108" s="17"/>
    </row>
    <row r="109" spans="1:21" ht="24" customHeight="1" thickBot="1" x14ac:dyDescent="0.3">
      <c r="A109" s="6">
        <v>108</v>
      </c>
      <c r="B109" s="13" t="s">
        <v>110</v>
      </c>
      <c r="C109" s="15" t="s">
        <v>467</v>
      </c>
      <c r="D109" s="8" t="s">
        <v>119</v>
      </c>
      <c r="E109" s="9">
        <v>48</v>
      </c>
      <c r="F109" s="9">
        <v>0</v>
      </c>
      <c r="G109" s="9">
        <f>F109+E109</f>
        <v>48</v>
      </c>
      <c r="H109" s="9">
        <v>0</v>
      </c>
      <c r="I109" s="9">
        <f>H109+G109</f>
        <v>48</v>
      </c>
      <c r="J109" s="10" t="s">
        <v>359</v>
      </c>
      <c r="K109" s="10" t="s">
        <v>717</v>
      </c>
      <c r="L109" s="11" t="str">
        <f>IF(I109&gt;=50,"ناجح","راسب")</f>
        <v>راسب</v>
      </c>
      <c r="M109" s="11" t="str">
        <f>IF(I109&gt;=90,"امتياز",IF(I109&gt;=80,"جيدجدا",IF(I109&gt;=70,"جيد",IF(I109&gt;=60,"متوسط ",IF(I109&gt;=50,"مقبول","ضعيف")))))</f>
        <v>ضعيف</v>
      </c>
      <c r="N109" s="7"/>
      <c r="O109" s="7"/>
      <c r="P109" s="7">
        <v>27</v>
      </c>
      <c r="Q109" s="7">
        <v>57</v>
      </c>
      <c r="R109" s="17">
        <v>47.37</v>
      </c>
      <c r="S109" s="17"/>
      <c r="T109" s="17"/>
      <c r="U109" s="17"/>
    </row>
    <row r="110" spans="1:21" ht="24" customHeight="1" thickBot="1" x14ac:dyDescent="0.3">
      <c r="A110" s="6">
        <v>109</v>
      </c>
      <c r="B110" s="13" t="s">
        <v>236</v>
      </c>
      <c r="C110" s="15" t="s">
        <v>468</v>
      </c>
      <c r="D110" s="8" t="s">
        <v>119</v>
      </c>
      <c r="E110" s="9">
        <v>0</v>
      </c>
      <c r="F110" s="9">
        <v>0</v>
      </c>
      <c r="G110" s="9">
        <f>F110+E110</f>
        <v>0</v>
      </c>
      <c r="H110" s="9">
        <v>0</v>
      </c>
      <c r="I110" s="9">
        <f>H110+G110</f>
        <v>0</v>
      </c>
      <c r="J110" s="10" t="s">
        <v>359</v>
      </c>
      <c r="K110" s="10" t="s">
        <v>717</v>
      </c>
      <c r="L110" s="11" t="str">
        <f>IF(I110&gt;=50,"ناجح","راسب")</f>
        <v>راسب</v>
      </c>
      <c r="M110" s="11" t="str">
        <f>IF(I110&gt;=90,"امتياز",IF(I110&gt;=80,"جيدجدا",IF(I110&gt;=70,"جيد",IF(I110&gt;=60,"متوسط ",IF(I110&gt;=50,"مقبول","ضعيف")))))</f>
        <v>ضعيف</v>
      </c>
      <c r="N110" s="7"/>
      <c r="O110" s="7"/>
      <c r="P110" s="7">
        <v>27</v>
      </c>
      <c r="Q110" s="7">
        <v>57</v>
      </c>
      <c r="R110" s="17">
        <v>47.37</v>
      </c>
      <c r="S110" s="17"/>
      <c r="T110" s="17"/>
      <c r="U110" s="17"/>
    </row>
    <row r="111" spans="1:21" ht="24" customHeight="1" thickBot="1" x14ac:dyDescent="0.3">
      <c r="A111" s="6">
        <v>110</v>
      </c>
      <c r="B111" s="13" t="s">
        <v>111</v>
      </c>
      <c r="C111" s="15" t="s">
        <v>469</v>
      </c>
      <c r="D111" s="8" t="s">
        <v>119</v>
      </c>
      <c r="E111" s="9">
        <v>37</v>
      </c>
      <c r="F111" s="9">
        <v>0</v>
      </c>
      <c r="G111" s="9">
        <f>F111+E111</f>
        <v>37</v>
      </c>
      <c r="H111" s="9">
        <v>0</v>
      </c>
      <c r="I111" s="9">
        <f>H111+G111</f>
        <v>37</v>
      </c>
      <c r="J111" s="10" t="s">
        <v>359</v>
      </c>
      <c r="K111" s="10" t="s">
        <v>717</v>
      </c>
      <c r="L111" s="11" t="str">
        <f>IF(I111&gt;=50,"ناجح","راسب")</f>
        <v>راسب</v>
      </c>
      <c r="M111" s="11" t="str">
        <f>IF(I111&gt;=90,"امتياز",IF(I111&gt;=80,"جيدجدا",IF(I111&gt;=70,"جيد",IF(I111&gt;=60,"متوسط ",IF(I111&gt;=50,"مقبول","ضعيف")))))</f>
        <v>ضعيف</v>
      </c>
      <c r="N111" s="7"/>
      <c r="O111" s="7"/>
      <c r="P111" s="7">
        <v>27</v>
      </c>
      <c r="Q111" s="7">
        <v>57</v>
      </c>
      <c r="R111" s="17">
        <v>47.37</v>
      </c>
      <c r="S111" s="17"/>
      <c r="T111" s="17"/>
      <c r="U111" s="17"/>
    </row>
    <row r="112" spans="1:21" ht="24" customHeight="1" thickBot="1" x14ac:dyDescent="0.3">
      <c r="A112" s="6">
        <v>111</v>
      </c>
      <c r="B112" s="13" t="s">
        <v>112</v>
      </c>
      <c r="C112" s="15" t="s">
        <v>470</v>
      </c>
      <c r="D112" s="8" t="s">
        <v>119</v>
      </c>
      <c r="E112" s="9">
        <v>46</v>
      </c>
      <c r="F112" s="9">
        <v>0</v>
      </c>
      <c r="G112" s="9">
        <f>F112+E112</f>
        <v>46</v>
      </c>
      <c r="H112" s="9">
        <v>0</v>
      </c>
      <c r="I112" s="9">
        <f>H112+G112</f>
        <v>46</v>
      </c>
      <c r="J112" s="10" t="s">
        <v>359</v>
      </c>
      <c r="K112" s="10" t="s">
        <v>717</v>
      </c>
      <c r="L112" s="11" t="str">
        <f>IF(I112&gt;=50,"ناجح","راسب")</f>
        <v>راسب</v>
      </c>
      <c r="M112" s="11" t="str">
        <f>IF(I112&gt;=90,"امتياز",IF(I112&gt;=80,"جيدجدا",IF(I112&gt;=70,"جيد",IF(I112&gt;=60,"متوسط ",IF(I112&gt;=50,"مقبول","ضعيف")))))</f>
        <v>ضعيف</v>
      </c>
      <c r="N112" s="7"/>
      <c r="O112" s="7"/>
      <c r="P112" s="7">
        <v>27</v>
      </c>
      <c r="Q112" s="7">
        <v>57</v>
      </c>
      <c r="R112" s="17">
        <v>47.37</v>
      </c>
      <c r="S112" s="17"/>
      <c r="T112" s="17"/>
      <c r="U112" s="17"/>
    </row>
    <row r="113" spans="1:21" ht="24" customHeight="1" thickBot="1" x14ac:dyDescent="0.3">
      <c r="A113" s="6">
        <v>112</v>
      </c>
      <c r="B113" s="13" t="s">
        <v>113</v>
      </c>
      <c r="C113" s="15" t="s">
        <v>471</v>
      </c>
      <c r="D113" s="8" t="s">
        <v>119</v>
      </c>
      <c r="E113" s="9">
        <v>59</v>
      </c>
      <c r="F113" s="9">
        <v>5</v>
      </c>
      <c r="G113" s="9">
        <f>F113+E113</f>
        <v>64</v>
      </c>
      <c r="H113" s="9">
        <v>0</v>
      </c>
      <c r="I113" s="9">
        <f>H113+G113</f>
        <v>64</v>
      </c>
      <c r="J113" s="10" t="s">
        <v>359</v>
      </c>
      <c r="K113" s="10" t="s">
        <v>717</v>
      </c>
      <c r="L113" s="11" t="str">
        <f>IF(I113&gt;=50,"ناجح","راسب")</f>
        <v>ناجح</v>
      </c>
      <c r="M113" s="11" t="str">
        <f>IF(I113&gt;=90,"امتياز",IF(I113&gt;=80,"جيدجدا",IF(I113&gt;=70,"جيد",IF(I113&gt;=60,"متوسط ",IF(I113&gt;=50,"مقبول","ضعيف")))))</f>
        <v xml:space="preserve">متوسط </v>
      </c>
      <c r="N113" s="7">
        <v>11</v>
      </c>
      <c r="O113" s="7" t="s">
        <v>6</v>
      </c>
      <c r="P113" s="7">
        <v>27</v>
      </c>
      <c r="Q113" s="7">
        <v>57</v>
      </c>
      <c r="R113" s="17">
        <v>47.37</v>
      </c>
      <c r="S113" s="17"/>
      <c r="T113" s="17"/>
      <c r="U113" s="17"/>
    </row>
    <row r="114" spans="1:21" ht="24" customHeight="1" thickBot="1" x14ac:dyDescent="0.3">
      <c r="A114" s="6">
        <v>113</v>
      </c>
      <c r="B114" s="13" t="s">
        <v>114</v>
      </c>
      <c r="C114" s="15" t="s">
        <v>472</v>
      </c>
      <c r="D114" s="8" t="s">
        <v>119</v>
      </c>
      <c r="E114" s="9">
        <v>0</v>
      </c>
      <c r="F114" s="9">
        <v>0</v>
      </c>
      <c r="G114" s="9">
        <f>F114+E114</f>
        <v>0</v>
      </c>
      <c r="H114" s="9">
        <v>0</v>
      </c>
      <c r="I114" s="9">
        <f>H114+G114</f>
        <v>0</v>
      </c>
      <c r="J114" s="10" t="s">
        <v>359</v>
      </c>
      <c r="K114" s="10" t="s">
        <v>717</v>
      </c>
      <c r="L114" s="11" t="str">
        <f>IF(I114&gt;=50,"ناجح","راسب")</f>
        <v>راسب</v>
      </c>
      <c r="M114" s="11" t="str">
        <f>IF(I114&gt;=90,"امتياز",IF(I114&gt;=80,"جيدجدا",IF(I114&gt;=70,"جيد",IF(I114&gt;=60,"متوسط ",IF(I114&gt;=50,"مقبول","ضعيف")))))</f>
        <v>ضعيف</v>
      </c>
      <c r="N114" s="7"/>
      <c r="O114" s="7"/>
      <c r="P114" s="7">
        <v>27</v>
      </c>
      <c r="Q114" s="7">
        <v>57</v>
      </c>
      <c r="R114" s="17">
        <v>47.37</v>
      </c>
      <c r="S114" s="17"/>
      <c r="T114" s="17"/>
      <c r="U114" s="17"/>
    </row>
    <row r="115" spans="1:21" ht="24" customHeight="1" thickBot="1" x14ac:dyDescent="0.3">
      <c r="A115" s="6">
        <v>114</v>
      </c>
      <c r="B115" s="13" t="s">
        <v>115</v>
      </c>
      <c r="C115" s="15" t="s">
        <v>473</v>
      </c>
      <c r="D115" s="8" t="s">
        <v>119</v>
      </c>
      <c r="E115" s="9">
        <v>43</v>
      </c>
      <c r="F115" s="9">
        <v>3</v>
      </c>
      <c r="G115" s="9">
        <f>F115+E115</f>
        <v>46</v>
      </c>
      <c r="H115" s="9">
        <v>0</v>
      </c>
      <c r="I115" s="9">
        <f>H115+G115</f>
        <v>46</v>
      </c>
      <c r="J115" s="10" t="s">
        <v>359</v>
      </c>
      <c r="K115" s="10" t="s">
        <v>717</v>
      </c>
      <c r="L115" s="11" t="str">
        <f>IF(I115&gt;=50,"ناجح","راسب")</f>
        <v>راسب</v>
      </c>
      <c r="M115" s="11" t="str">
        <f>IF(I115&gt;=90,"امتياز",IF(I115&gt;=80,"جيدجدا",IF(I115&gt;=70,"جيد",IF(I115&gt;=60,"متوسط ",IF(I115&gt;=50,"مقبول","ضعيف")))))</f>
        <v>ضعيف</v>
      </c>
      <c r="N115" s="7"/>
      <c r="O115" s="7"/>
      <c r="P115" s="7">
        <v>27</v>
      </c>
      <c r="Q115" s="7">
        <v>57</v>
      </c>
      <c r="R115" s="17">
        <v>47.37</v>
      </c>
      <c r="S115" s="17"/>
      <c r="T115" s="17"/>
      <c r="U115" s="17"/>
    </row>
    <row r="116" spans="1:21" ht="24" customHeight="1" thickBot="1" x14ac:dyDescent="0.3">
      <c r="A116" s="6">
        <v>115</v>
      </c>
      <c r="B116" s="13" t="s">
        <v>116</v>
      </c>
      <c r="C116" s="15" t="s">
        <v>474</v>
      </c>
      <c r="D116" s="8" t="s">
        <v>119</v>
      </c>
      <c r="E116" s="9">
        <v>0</v>
      </c>
      <c r="F116" s="9">
        <v>0</v>
      </c>
      <c r="G116" s="9">
        <f>F116+E116</f>
        <v>0</v>
      </c>
      <c r="H116" s="9">
        <v>0</v>
      </c>
      <c r="I116" s="9">
        <f>H116+G116</f>
        <v>0</v>
      </c>
      <c r="J116" s="10" t="s">
        <v>359</v>
      </c>
      <c r="K116" s="10" t="s">
        <v>717</v>
      </c>
      <c r="L116" s="11" t="str">
        <f>IF(I116&gt;=50,"ناجح","راسب")</f>
        <v>راسب</v>
      </c>
      <c r="M116" s="11" t="str">
        <f>IF(I116&gt;=90,"امتياز",IF(I116&gt;=80,"جيدجدا",IF(I116&gt;=70,"جيد",IF(I116&gt;=60,"متوسط ",IF(I116&gt;=50,"مقبول","ضعيف")))))</f>
        <v>ضعيف</v>
      </c>
      <c r="N116" s="7"/>
      <c r="O116" s="7"/>
      <c r="P116" s="7">
        <v>27</v>
      </c>
      <c r="Q116" s="7">
        <v>57</v>
      </c>
      <c r="R116" s="17">
        <v>47.37</v>
      </c>
      <c r="S116" s="17"/>
      <c r="T116" s="17"/>
      <c r="U116" s="17"/>
    </row>
    <row r="117" spans="1:21" ht="24" customHeight="1" thickBot="1" x14ac:dyDescent="0.3">
      <c r="A117" s="6">
        <v>116</v>
      </c>
      <c r="B117" s="13" t="s">
        <v>117</v>
      </c>
      <c r="C117" s="15" t="s">
        <v>475</v>
      </c>
      <c r="D117" s="8" t="s">
        <v>119</v>
      </c>
      <c r="E117" s="9">
        <v>44</v>
      </c>
      <c r="F117" s="9">
        <v>5</v>
      </c>
      <c r="G117" s="9">
        <f>F117+E117</f>
        <v>49</v>
      </c>
      <c r="H117" s="9">
        <v>0</v>
      </c>
      <c r="I117" s="9">
        <f>H117+G117</f>
        <v>49</v>
      </c>
      <c r="J117" s="10" t="s">
        <v>359</v>
      </c>
      <c r="K117" s="10" t="s">
        <v>717</v>
      </c>
      <c r="L117" s="11" t="str">
        <f>IF(I117&gt;=50,"ناجح","راسب")</f>
        <v>راسب</v>
      </c>
      <c r="M117" s="11" t="str">
        <f>IF(I117&gt;=90,"امتياز",IF(I117&gt;=80,"جيدجدا",IF(I117&gt;=70,"جيد",IF(I117&gt;=60,"متوسط ",IF(I117&gt;=50,"مقبول","ضعيف")))))</f>
        <v>ضعيف</v>
      </c>
      <c r="N117" s="7"/>
      <c r="O117" s="7"/>
      <c r="P117" s="7">
        <v>27</v>
      </c>
      <c r="Q117" s="7">
        <v>57</v>
      </c>
      <c r="R117" s="17">
        <v>47.37</v>
      </c>
      <c r="S117" s="17"/>
      <c r="T117" s="17"/>
      <c r="U117" s="17"/>
    </row>
    <row r="118" spans="1:21" ht="24" customHeight="1" thickBot="1" x14ac:dyDescent="0.3">
      <c r="A118" s="6">
        <v>117</v>
      </c>
      <c r="B118" s="13" t="s">
        <v>118</v>
      </c>
      <c r="C118" s="15" t="s">
        <v>476</v>
      </c>
      <c r="D118" s="8" t="s">
        <v>119</v>
      </c>
      <c r="E118" s="9">
        <v>39</v>
      </c>
      <c r="F118" s="9">
        <v>0</v>
      </c>
      <c r="G118" s="9">
        <f>F118+E118</f>
        <v>39</v>
      </c>
      <c r="H118" s="9">
        <v>0</v>
      </c>
      <c r="I118" s="9">
        <f>H118+G118</f>
        <v>39</v>
      </c>
      <c r="J118" s="10" t="s">
        <v>359</v>
      </c>
      <c r="K118" s="10" t="s">
        <v>717</v>
      </c>
      <c r="L118" s="11" t="str">
        <f>IF(I118&gt;=50,"ناجح","راسب")</f>
        <v>راسب</v>
      </c>
      <c r="M118" s="11" t="str">
        <f>IF(I118&gt;=90,"امتياز",IF(I118&gt;=80,"جيدجدا",IF(I118&gt;=70,"جيد",IF(I118&gt;=60,"متوسط ",IF(I118&gt;=50,"مقبول","ضعيف")))))</f>
        <v>ضعيف</v>
      </c>
      <c r="N118" s="7"/>
      <c r="O118" s="7"/>
      <c r="P118" s="7">
        <v>27</v>
      </c>
      <c r="Q118" s="7">
        <v>57</v>
      </c>
      <c r="R118" s="17">
        <v>47.37</v>
      </c>
      <c r="S118" s="17"/>
      <c r="T118" s="17"/>
      <c r="U118" s="17"/>
    </row>
    <row r="119" spans="1:21" ht="24" customHeight="1" thickBot="1" x14ac:dyDescent="0.3">
      <c r="A119" s="6">
        <v>176</v>
      </c>
      <c r="B119" s="13" t="s">
        <v>707</v>
      </c>
      <c r="C119" s="15" t="s">
        <v>710</v>
      </c>
      <c r="D119" s="8" t="s">
        <v>205</v>
      </c>
      <c r="E119" s="9">
        <v>0</v>
      </c>
      <c r="F119" s="9">
        <v>0</v>
      </c>
      <c r="G119" s="9">
        <f>F119+E119</f>
        <v>0</v>
      </c>
      <c r="H119" s="9">
        <v>0</v>
      </c>
      <c r="I119" s="9">
        <f>H119+G119</f>
        <v>0</v>
      </c>
      <c r="J119" s="10" t="s">
        <v>359</v>
      </c>
      <c r="K119" s="10" t="s">
        <v>717</v>
      </c>
      <c r="L119" s="11" t="str">
        <f>IF(I119&gt;=50,"ناجح","راسب")</f>
        <v>راسب</v>
      </c>
      <c r="M119" s="11" t="str">
        <f>IF(I119&gt;=90,"امتياز",IF(I119&gt;=80,"جيدجدا",IF(I119&gt;=70,"جيد",IF(I119&gt;=60,"متوسط ",IF(I119&gt;=50,"مقبول","ضعيف")))))</f>
        <v>ضعيف</v>
      </c>
      <c r="N119" s="7"/>
      <c r="O119" s="7"/>
      <c r="P119" s="7">
        <v>36</v>
      </c>
      <c r="Q119" s="7">
        <v>59</v>
      </c>
      <c r="R119" s="17">
        <v>61.02</v>
      </c>
      <c r="S119" s="17"/>
      <c r="T119" s="17"/>
      <c r="U119" s="17"/>
    </row>
    <row r="120" spans="1:21" ht="24" customHeight="1" thickBot="1" x14ac:dyDescent="0.3">
      <c r="A120" s="6">
        <v>175</v>
      </c>
      <c r="B120" s="13" t="s">
        <v>706</v>
      </c>
      <c r="C120" s="15" t="s">
        <v>709</v>
      </c>
      <c r="D120" s="8" t="s">
        <v>205</v>
      </c>
      <c r="E120" s="9">
        <v>0</v>
      </c>
      <c r="F120" s="9">
        <v>0</v>
      </c>
      <c r="G120" s="9">
        <f>F120+E120</f>
        <v>0</v>
      </c>
      <c r="H120" s="9">
        <v>0</v>
      </c>
      <c r="I120" s="9">
        <f>H120+G120</f>
        <v>0</v>
      </c>
      <c r="J120" s="10" t="s">
        <v>359</v>
      </c>
      <c r="K120" s="10" t="s">
        <v>717</v>
      </c>
      <c r="L120" s="11" t="str">
        <f>IF(I120&gt;=50,"ناجح","راسب")</f>
        <v>راسب</v>
      </c>
      <c r="M120" s="11" t="str">
        <f>IF(I120&gt;=90,"امتياز",IF(I120&gt;=80,"جيدجدا",IF(I120&gt;=70,"جيد",IF(I120&gt;=60,"متوسط ",IF(I120&gt;=50,"مقبول","ضعيف")))))</f>
        <v>ضعيف</v>
      </c>
      <c r="N120" s="7"/>
      <c r="O120" s="7"/>
      <c r="P120" s="7">
        <v>36</v>
      </c>
      <c r="Q120" s="7">
        <v>59</v>
      </c>
      <c r="R120" s="17">
        <v>61.02</v>
      </c>
      <c r="S120" s="17"/>
      <c r="T120" s="17"/>
      <c r="U120" s="17"/>
    </row>
    <row r="121" spans="1:21" ht="24" customHeight="1" thickBot="1" x14ac:dyDescent="0.3">
      <c r="A121" s="6">
        <v>174</v>
      </c>
      <c r="B121" s="13" t="s">
        <v>705</v>
      </c>
      <c r="C121" s="15" t="s">
        <v>708</v>
      </c>
      <c r="D121" s="8" t="s">
        <v>205</v>
      </c>
      <c r="E121" s="9">
        <v>0</v>
      </c>
      <c r="F121" s="9">
        <v>0</v>
      </c>
      <c r="G121" s="9">
        <f>F121+E121</f>
        <v>0</v>
      </c>
      <c r="H121" s="9">
        <v>0</v>
      </c>
      <c r="I121" s="9">
        <f>H121+G121</f>
        <v>0</v>
      </c>
      <c r="J121" s="10" t="s">
        <v>359</v>
      </c>
      <c r="K121" s="10" t="s">
        <v>717</v>
      </c>
      <c r="L121" s="11" t="str">
        <f>IF(I121&gt;=50,"ناجح","راسب")</f>
        <v>راسب</v>
      </c>
      <c r="M121" s="11" t="str">
        <f>IF(I121&gt;=90,"امتياز",IF(I121&gt;=80,"جيدجدا",IF(I121&gt;=70,"جيد",IF(I121&gt;=60,"متوسط ",IF(I121&gt;=50,"مقبول","ضعيف")))))</f>
        <v>ضعيف</v>
      </c>
      <c r="N121" s="7"/>
      <c r="O121" s="7"/>
      <c r="P121" s="7">
        <v>36</v>
      </c>
      <c r="Q121" s="7">
        <v>59</v>
      </c>
      <c r="R121" s="17">
        <v>61.02</v>
      </c>
      <c r="S121" s="17"/>
      <c r="T121" s="17"/>
      <c r="U121" s="17"/>
    </row>
    <row r="122" spans="1:21" ht="24" customHeight="1" thickBot="1" x14ac:dyDescent="0.3">
      <c r="A122" s="6">
        <v>173</v>
      </c>
      <c r="B122" s="13" t="s">
        <v>204</v>
      </c>
      <c r="C122" s="15" t="s">
        <v>532</v>
      </c>
      <c r="D122" s="8" t="s">
        <v>205</v>
      </c>
      <c r="E122" s="9">
        <v>48</v>
      </c>
      <c r="F122" s="9">
        <v>20</v>
      </c>
      <c r="G122" s="9">
        <f>F122+E122</f>
        <v>68</v>
      </c>
      <c r="H122" s="9">
        <v>0</v>
      </c>
      <c r="I122" s="9">
        <f>H122+G122</f>
        <v>68</v>
      </c>
      <c r="J122" s="10" t="s">
        <v>359</v>
      </c>
      <c r="K122" s="10" t="s">
        <v>717</v>
      </c>
      <c r="L122" s="11" t="str">
        <f>IF(I122&gt;=50,"ناجح","راسب")</f>
        <v>ناجح</v>
      </c>
      <c r="M122" s="11" t="str">
        <f>IF(I122&gt;=90,"امتياز",IF(I122&gt;=80,"جيدجدا",IF(I122&gt;=70,"جيد",IF(I122&gt;=60,"متوسط ",IF(I122&gt;=50,"مقبول","ضعيف")))))</f>
        <v xml:space="preserve">متوسط </v>
      </c>
      <c r="N122" s="7">
        <v>7</v>
      </c>
      <c r="O122" s="7" t="s">
        <v>6</v>
      </c>
      <c r="P122" s="7">
        <v>36</v>
      </c>
      <c r="Q122" s="7">
        <v>59</v>
      </c>
      <c r="R122" s="17">
        <v>61.02</v>
      </c>
      <c r="S122" s="17"/>
      <c r="T122" s="17"/>
      <c r="U122" s="17"/>
    </row>
    <row r="123" spans="1:21" ht="24" customHeight="1" thickBot="1" x14ac:dyDescent="0.3">
      <c r="A123" s="6">
        <v>172</v>
      </c>
      <c r="B123" s="13" t="s">
        <v>203</v>
      </c>
      <c r="C123" s="15" t="s">
        <v>531</v>
      </c>
      <c r="D123" s="8" t="s">
        <v>205</v>
      </c>
      <c r="E123" s="9">
        <v>48</v>
      </c>
      <c r="F123" s="9">
        <v>12</v>
      </c>
      <c r="G123" s="9">
        <f>F123+E123</f>
        <v>60</v>
      </c>
      <c r="H123" s="9">
        <v>0</v>
      </c>
      <c r="I123" s="9">
        <f>H123+G123</f>
        <v>60</v>
      </c>
      <c r="J123" s="10" t="s">
        <v>359</v>
      </c>
      <c r="K123" s="10" t="s">
        <v>717</v>
      </c>
      <c r="L123" s="11" t="str">
        <f>IF(I123&gt;=50,"ناجح","راسب")</f>
        <v>ناجح</v>
      </c>
      <c r="M123" s="11" t="str">
        <f>IF(I123&gt;=90,"امتياز",IF(I123&gt;=80,"جيدجدا",IF(I123&gt;=70,"جيد",IF(I123&gt;=60,"متوسط ",IF(I123&gt;=50,"مقبول","ضعيف")))))</f>
        <v xml:space="preserve">متوسط </v>
      </c>
      <c r="N123" s="7">
        <v>14</v>
      </c>
      <c r="O123" s="7" t="s">
        <v>6</v>
      </c>
      <c r="P123" s="7">
        <v>36</v>
      </c>
      <c r="Q123" s="7">
        <v>59</v>
      </c>
      <c r="R123" s="17">
        <v>61.02</v>
      </c>
      <c r="S123" s="17"/>
      <c r="T123" s="17"/>
      <c r="U123" s="17"/>
    </row>
    <row r="124" spans="1:21" ht="24" customHeight="1" thickBot="1" x14ac:dyDescent="0.3">
      <c r="A124" s="6">
        <v>171</v>
      </c>
      <c r="B124" s="13" t="s">
        <v>299</v>
      </c>
      <c r="C124" s="15" t="s">
        <v>530</v>
      </c>
      <c r="D124" s="8" t="s">
        <v>205</v>
      </c>
      <c r="E124" s="9">
        <v>39</v>
      </c>
      <c r="F124" s="9">
        <v>7</v>
      </c>
      <c r="G124" s="9">
        <f>F124+E124</f>
        <v>46</v>
      </c>
      <c r="H124" s="9">
        <v>0</v>
      </c>
      <c r="I124" s="9">
        <f>H124+G124</f>
        <v>46</v>
      </c>
      <c r="J124" s="10" t="s">
        <v>359</v>
      </c>
      <c r="K124" s="10" t="s">
        <v>717</v>
      </c>
      <c r="L124" s="11" t="str">
        <f>IF(I124&gt;=50,"ناجح","راسب")</f>
        <v>راسب</v>
      </c>
      <c r="M124" s="11" t="str">
        <f>IF(I124&gt;=90,"امتياز",IF(I124&gt;=80,"جيدجدا",IF(I124&gt;=70,"جيد",IF(I124&gt;=60,"متوسط ",IF(I124&gt;=50,"مقبول","ضعيف")))))</f>
        <v>ضعيف</v>
      </c>
      <c r="N124" s="7"/>
      <c r="O124" s="7"/>
      <c r="P124" s="7">
        <v>36</v>
      </c>
      <c r="Q124" s="7">
        <v>59</v>
      </c>
      <c r="R124" s="17">
        <v>61.02</v>
      </c>
      <c r="S124" s="17"/>
      <c r="T124" s="17"/>
      <c r="U124" s="17"/>
    </row>
    <row r="125" spans="1:21" ht="24" customHeight="1" thickBot="1" x14ac:dyDescent="0.3">
      <c r="A125" s="6">
        <v>170</v>
      </c>
      <c r="B125" s="13" t="s">
        <v>202</v>
      </c>
      <c r="C125" s="15" t="s">
        <v>529</v>
      </c>
      <c r="D125" s="8" t="s">
        <v>205</v>
      </c>
      <c r="E125" s="9">
        <v>0</v>
      </c>
      <c r="F125" s="9">
        <v>0</v>
      </c>
      <c r="G125" s="9">
        <f>F125+E125</f>
        <v>0</v>
      </c>
      <c r="H125" s="9">
        <v>0</v>
      </c>
      <c r="I125" s="9">
        <f>H125+G125</f>
        <v>0</v>
      </c>
      <c r="J125" s="10" t="s">
        <v>359</v>
      </c>
      <c r="K125" s="10" t="s">
        <v>717</v>
      </c>
      <c r="L125" s="11" t="str">
        <f>IF(I125&gt;=50,"ناجح","راسب")</f>
        <v>راسب</v>
      </c>
      <c r="M125" s="11" t="str">
        <f>IF(I125&gt;=90,"امتياز",IF(I125&gt;=80,"جيدجدا",IF(I125&gt;=70,"جيد",IF(I125&gt;=60,"متوسط ",IF(I125&gt;=50,"مقبول","ضعيف")))))</f>
        <v>ضعيف</v>
      </c>
      <c r="N125" s="7"/>
      <c r="O125" s="7"/>
      <c r="P125" s="7">
        <v>36</v>
      </c>
      <c r="Q125" s="7">
        <v>59</v>
      </c>
      <c r="R125" s="17">
        <v>61.02</v>
      </c>
      <c r="S125" s="17"/>
      <c r="T125" s="17"/>
      <c r="U125" s="17"/>
    </row>
    <row r="126" spans="1:21" ht="24" customHeight="1" thickBot="1" x14ac:dyDescent="0.3">
      <c r="A126" s="6">
        <v>169</v>
      </c>
      <c r="B126" s="13" t="s">
        <v>201</v>
      </c>
      <c r="C126" s="15" t="s">
        <v>528</v>
      </c>
      <c r="D126" s="8" t="s">
        <v>205</v>
      </c>
      <c r="E126" s="9">
        <v>52</v>
      </c>
      <c r="F126" s="9">
        <v>6</v>
      </c>
      <c r="G126" s="9">
        <f>F126+E126</f>
        <v>58</v>
      </c>
      <c r="H126" s="9">
        <v>0</v>
      </c>
      <c r="I126" s="9">
        <f>H126+G126</f>
        <v>58</v>
      </c>
      <c r="J126" s="10" t="s">
        <v>359</v>
      </c>
      <c r="K126" s="10" t="s">
        <v>717</v>
      </c>
      <c r="L126" s="11" t="str">
        <f>IF(I126&gt;=50,"ناجح","راسب")</f>
        <v>ناجح</v>
      </c>
      <c r="M126" s="11" t="str">
        <f>IF(I126&gt;=90,"امتياز",IF(I126&gt;=80,"جيدجدا",IF(I126&gt;=70,"جيد",IF(I126&gt;=60,"متوسط ",IF(I126&gt;=50,"مقبول","ضعيف")))))</f>
        <v>مقبول</v>
      </c>
      <c r="N126" s="7">
        <v>15</v>
      </c>
      <c r="O126" s="7" t="s">
        <v>6</v>
      </c>
      <c r="P126" s="7">
        <v>36</v>
      </c>
      <c r="Q126" s="7">
        <v>59</v>
      </c>
      <c r="R126" s="17">
        <v>61.02</v>
      </c>
      <c r="S126" s="17"/>
      <c r="T126" s="17"/>
      <c r="U126" s="17"/>
    </row>
    <row r="127" spans="1:21" ht="24" customHeight="1" thickBot="1" x14ac:dyDescent="0.3">
      <c r="A127" s="6">
        <v>168</v>
      </c>
      <c r="B127" s="13" t="s">
        <v>200</v>
      </c>
      <c r="C127" s="15" t="s">
        <v>527</v>
      </c>
      <c r="D127" s="8" t="s">
        <v>205</v>
      </c>
      <c r="E127" s="9">
        <v>41</v>
      </c>
      <c r="F127" s="9">
        <v>20</v>
      </c>
      <c r="G127" s="9">
        <f>F127+E127</f>
        <v>61</v>
      </c>
      <c r="H127" s="9">
        <v>0</v>
      </c>
      <c r="I127" s="9">
        <f>H127+G127</f>
        <v>61</v>
      </c>
      <c r="J127" s="10" t="s">
        <v>359</v>
      </c>
      <c r="K127" s="10" t="s">
        <v>717</v>
      </c>
      <c r="L127" s="11" t="str">
        <f>IF(I127&gt;=50,"ناجح","راسب")</f>
        <v>ناجح</v>
      </c>
      <c r="M127" s="11" t="str">
        <f>IF(I127&gt;=90,"امتياز",IF(I127&gt;=80,"جيدجدا",IF(I127&gt;=70,"جيد",IF(I127&gt;=60,"متوسط ",IF(I127&gt;=50,"مقبول","ضعيف")))))</f>
        <v xml:space="preserve">متوسط </v>
      </c>
      <c r="N127" s="7">
        <v>13</v>
      </c>
      <c r="O127" s="7" t="s">
        <v>6</v>
      </c>
      <c r="P127" s="7">
        <v>36</v>
      </c>
      <c r="Q127" s="7">
        <v>59</v>
      </c>
      <c r="R127" s="17">
        <v>61.02</v>
      </c>
      <c r="S127" s="17"/>
      <c r="T127" s="17"/>
      <c r="U127" s="17"/>
    </row>
    <row r="128" spans="1:21" ht="24" customHeight="1" thickBot="1" x14ac:dyDescent="0.3">
      <c r="A128" s="6">
        <v>167</v>
      </c>
      <c r="B128" s="13" t="s">
        <v>199</v>
      </c>
      <c r="C128" s="15" t="s">
        <v>526</v>
      </c>
      <c r="D128" s="8" t="s">
        <v>205</v>
      </c>
      <c r="E128" s="9">
        <v>59</v>
      </c>
      <c r="F128" s="9">
        <v>12</v>
      </c>
      <c r="G128" s="9">
        <f>F128+E128</f>
        <v>71</v>
      </c>
      <c r="H128" s="9">
        <v>0</v>
      </c>
      <c r="I128" s="9">
        <f>H128+G128</f>
        <v>71</v>
      </c>
      <c r="J128" s="10" t="s">
        <v>359</v>
      </c>
      <c r="K128" s="10" t="s">
        <v>717</v>
      </c>
      <c r="L128" s="11" t="str">
        <f>IF(I128&gt;=50,"ناجح","راسب")</f>
        <v>ناجح</v>
      </c>
      <c r="M128" s="11" t="str">
        <f>IF(I128&gt;=90,"امتياز",IF(I128&gt;=80,"جيدجدا",IF(I128&gt;=70,"جيد",IF(I128&gt;=60,"متوسط ",IF(I128&gt;=50,"مقبول","ضعيف")))))</f>
        <v>جيد</v>
      </c>
      <c r="N128" s="7">
        <v>4</v>
      </c>
      <c r="O128" s="7" t="s">
        <v>6</v>
      </c>
      <c r="P128" s="7">
        <v>36</v>
      </c>
      <c r="Q128" s="7">
        <v>59</v>
      </c>
      <c r="R128" s="17">
        <v>61.02</v>
      </c>
      <c r="S128" s="17"/>
      <c r="T128" s="17"/>
      <c r="U128" s="17"/>
    </row>
    <row r="129" spans="1:21" ht="24" customHeight="1" thickBot="1" x14ac:dyDescent="0.3">
      <c r="A129" s="6">
        <v>166</v>
      </c>
      <c r="B129" s="13" t="s">
        <v>198</v>
      </c>
      <c r="C129" s="15" t="s">
        <v>525</v>
      </c>
      <c r="D129" s="8" t="s">
        <v>205</v>
      </c>
      <c r="E129" s="9">
        <v>37</v>
      </c>
      <c r="F129" s="9">
        <v>0</v>
      </c>
      <c r="G129" s="9">
        <f>F129+E129</f>
        <v>37</v>
      </c>
      <c r="H129" s="9">
        <v>0</v>
      </c>
      <c r="I129" s="9">
        <f>H129+G129</f>
        <v>37</v>
      </c>
      <c r="J129" s="10" t="s">
        <v>359</v>
      </c>
      <c r="K129" s="10" t="s">
        <v>717</v>
      </c>
      <c r="L129" s="11" t="str">
        <f>IF(I129&gt;=50,"ناجح","راسب")</f>
        <v>راسب</v>
      </c>
      <c r="M129" s="11" t="str">
        <f>IF(I129&gt;=90,"امتياز",IF(I129&gt;=80,"جيدجدا",IF(I129&gt;=70,"جيد",IF(I129&gt;=60,"متوسط ",IF(I129&gt;=50,"مقبول","ضعيف")))))</f>
        <v>ضعيف</v>
      </c>
      <c r="N129" s="7"/>
      <c r="O129" s="7"/>
      <c r="P129" s="7">
        <v>36</v>
      </c>
      <c r="Q129" s="7">
        <v>59</v>
      </c>
      <c r="R129" s="17">
        <v>61.02</v>
      </c>
      <c r="S129" s="17"/>
      <c r="T129" s="17"/>
      <c r="U129" s="17"/>
    </row>
    <row r="130" spans="1:21" ht="24" customHeight="1" thickBot="1" x14ac:dyDescent="0.3">
      <c r="A130" s="6">
        <v>165</v>
      </c>
      <c r="B130" s="13" t="s">
        <v>197</v>
      </c>
      <c r="C130" s="15" t="s">
        <v>524</v>
      </c>
      <c r="D130" s="8" t="s">
        <v>205</v>
      </c>
      <c r="E130" s="9">
        <v>55</v>
      </c>
      <c r="F130" s="9">
        <v>20</v>
      </c>
      <c r="G130" s="9">
        <f>F130+E130</f>
        <v>75</v>
      </c>
      <c r="H130" s="9">
        <v>0</v>
      </c>
      <c r="I130" s="9">
        <f>H130+G130</f>
        <v>75</v>
      </c>
      <c r="J130" s="10" t="s">
        <v>359</v>
      </c>
      <c r="K130" s="10" t="s">
        <v>717</v>
      </c>
      <c r="L130" s="11" t="str">
        <f>IF(I130&gt;=50,"ناجح","راسب")</f>
        <v>ناجح</v>
      </c>
      <c r="M130" s="11" t="str">
        <f>IF(I130&gt;=90,"امتياز",IF(I130&gt;=80,"جيدجدا",IF(I130&gt;=70,"جيد",IF(I130&gt;=60,"متوسط ",IF(I130&gt;=50,"مقبول","ضعيف")))))</f>
        <v>جيد</v>
      </c>
      <c r="N130" s="7">
        <v>2</v>
      </c>
      <c r="O130" s="7" t="s">
        <v>6</v>
      </c>
      <c r="P130" s="7">
        <v>36</v>
      </c>
      <c r="Q130" s="7">
        <v>59</v>
      </c>
      <c r="R130" s="17">
        <v>61.02</v>
      </c>
      <c r="S130" s="17"/>
      <c r="T130" s="17"/>
      <c r="U130" s="17"/>
    </row>
    <row r="131" spans="1:21" ht="24" customHeight="1" thickBot="1" x14ac:dyDescent="0.3">
      <c r="A131" s="6">
        <v>164</v>
      </c>
      <c r="B131" s="13" t="s">
        <v>196</v>
      </c>
      <c r="C131" s="15" t="s">
        <v>523</v>
      </c>
      <c r="D131" s="8" t="s">
        <v>205</v>
      </c>
      <c r="E131" s="9">
        <v>0</v>
      </c>
      <c r="F131" s="9">
        <v>0</v>
      </c>
      <c r="G131" s="9">
        <f>F131+E131</f>
        <v>0</v>
      </c>
      <c r="H131" s="9">
        <v>0</v>
      </c>
      <c r="I131" s="9">
        <f>H131+G131</f>
        <v>0</v>
      </c>
      <c r="J131" s="10" t="s">
        <v>359</v>
      </c>
      <c r="K131" s="10" t="s">
        <v>717</v>
      </c>
      <c r="L131" s="11" t="str">
        <f>IF(I131&gt;=50,"ناجح","راسب")</f>
        <v>راسب</v>
      </c>
      <c r="M131" s="11" t="str">
        <f>IF(I131&gt;=90,"امتياز",IF(I131&gt;=80,"جيدجدا",IF(I131&gt;=70,"جيد",IF(I131&gt;=60,"متوسط ",IF(I131&gt;=50,"مقبول","ضعيف")))))</f>
        <v>ضعيف</v>
      </c>
      <c r="N131" s="7"/>
      <c r="O131" s="7"/>
      <c r="P131" s="7">
        <v>36</v>
      </c>
      <c r="Q131" s="7">
        <v>59</v>
      </c>
      <c r="R131" s="17">
        <v>61.02</v>
      </c>
      <c r="S131" s="17"/>
      <c r="T131" s="17"/>
      <c r="U131" s="17"/>
    </row>
    <row r="132" spans="1:21" ht="24" customHeight="1" thickBot="1" x14ac:dyDescent="0.3">
      <c r="A132" s="6">
        <v>163</v>
      </c>
      <c r="B132" s="13" t="s">
        <v>195</v>
      </c>
      <c r="C132" s="15" t="s">
        <v>522</v>
      </c>
      <c r="D132" s="8" t="s">
        <v>205</v>
      </c>
      <c r="E132" s="9">
        <v>34</v>
      </c>
      <c r="F132" s="9">
        <v>0</v>
      </c>
      <c r="G132" s="9">
        <f>F132+E132</f>
        <v>34</v>
      </c>
      <c r="H132" s="9">
        <v>0</v>
      </c>
      <c r="I132" s="9">
        <f>H132+G132</f>
        <v>34</v>
      </c>
      <c r="J132" s="10" t="s">
        <v>359</v>
      </c>
      <c r="K132" s="10" t="s">
        <v>717</v>
      </c>
      <c r="L132" s="11" t="str">
        <f>IF(I132&gt;=50,"ناجح","راسب")</f>
        <v>راسب</v>
      </c>
      <c r="M132" s="11" t="str">
        <f>IF(I132&gt;=90,"امتياز",IF(I132&gt;=80,"جيدجدا",IF(I132&gt;=70,"جيد",IF(I132&gt;=60,"متوسط ",IF(I132&gt;=50,"مقبول","ضعيف")))))</f>
        <v>ضعيف</v>
      </c>
      <c r="N132" s="7"/>
      <c r="O132" s="7"/>
      <c r="P132" s="7">
        <v>36</v>
      </c>
      <c r="Q132" s="7">
        <v>59</v>
      </c>
      <c r="R132" s="17">
        <v>61.02</v>
      </c>
      <c r="S132" s="17"/>
      <c r="T132" s="17"/>
      <c r="U132" s="17"/>
    </row>
    <row r="133" spans="1:21" ht="24" customHeight="1" thickBot="1" x14ac:dyDescent="0.3">
      <c r="A133" s="6">
        <v>162</v>
      </c>
      <c r="B133" s="13" t="s">
        <v>194</v>
      </c>
      <c r="C133" s="15" t="s">
        <v>521</v>
      </c>
      <c r="D133" s="8" t="s">
        <v>205</v>
      </c>
      <c r="E133" s="9">
        <v>46</v>
      </c>
      <c r="F133" s="9">
        <v>10</v>
      </c>
      <c r="G133" s="9">
        <f>F133+E133</f>
        <v>56</v>
      </c>
      <c r="H133" s="9">
        <v>0</v>
      </c>
      <c r="I133" s="9">
        <f>H133+G133</f>
        <v>56</v>
      </c>
      <c r="J133" s="10" t="s">
        <v>359</v>
      </c>
      <c r="K133" s="10" t="s">
        <v>717</v>
      </c>
      <c r="L133" s="11" t="str">
        <f>IF(I133&gt;=50,"ناجح","راسب")</f>
        <v>ناجح</v>
      </c>
      <c r="M133" s="11" t="str">
        <f>IF(I133&gt;=90,"امتياز",IF(I133&gt;=80,"جيدجدا",IF(I133&gt;=70,"جيد",IF(I133&gt;=60,"متوسط ",IF(I133&gt;=50,"مقبول","ضعيف")))))</f>
        <v>مقبول</v>
      </c>
      <c r="N133" s="7">
        <v>17</v>
      </c>
      <c r="O133" s="7" t="s">
        <v>6</v>
      </c>
      <c r="P133" s="7">
        <v>36</v>
      </c>
      <c r="Q133" s="7">
        <v>59</v>
      </c>
      <c r="R133" s="17">
        <v>61.02</v>
      </c>
      <c r="S133" s="17"/>
      <c r="T133" s="17"/>
      <c r="U133" s="17"/>
    </row>
    <row r="134" spans="1:21" ht="24" customHeight="1" thickBot="1" x14ac:dyDescent="0.3">
      <c r="A134" s="6">
        <v>161</v>
      </c>
      <c r="B134" s="13" t="s">
        <v>193</v>
      </c>
      <c r="C134" s="15" t="s">
        <v>520</v>
      </c>
      <c r="D134" s="8" t="s">
        <v>205</v>
      </c>
      <c r="E134" s="9">
        <v>53</v>
      </c>
      <c r="F134" s="9">
        <v>12</v>
      </c>
      <c r="G134" s="9">
        <f>F134+E134</f>
        <v>65</v>
      </c>
      <c r="H134" s="9">
        <v>0</v>
      </c>
      <c r="I134" s="9">
        <f>H134+G134</f>
        <v>65</v>
      </c>
      <c r="J134" s="10" t="s">
        <v>359</v>
      </c>
      <c r="K134" s="10" t="s">
        <v>717</v>
      </c>
      <c r="L134" s="11" t="str">
        <f>IF(I134&gt;=50,"ناجح","راسب")</f>
        <v>ناجح</v>
      </c>
      <c r="M134" s="11" t="str">
        <f>IF(I134&gt;=90,"امتياز",IF(I134&gt;=80,"جيدجدا",IF(I134&gt;=70,"جيد",IF(I134&gt;=60,"متوسط ",IF(I134&gt;=50,"مقبول","ضعيف")))))</f>
        <v xml:space="preserve">متوسط </v>
      </c>
      <c r="N134" s="7">
        <v>9</v>
      </c>
      <c r="O134" s="7" t="s">
        <v>6</v>
      </c>
      <c r="P134" s="7">
        <v>36</v>
      </c>
      <c r="Q134" s="7">
        <v>59</v>
      </c>
      <c r="R134" s="17">
        <v>61.02</v>
      </c>
      <c r="S134" s="17"/>
      <c r="T134" s="17"/>
      <c r="U134" s="17"/>
    </row>
    <row r="135" spans="1:21" ht="24" customHeight="1" thickBot="1" x14ac:dyDescent="0.3">
      <c r="A135" s="6">
        <v>160</v>
      </c>
      <c r="B135" s="13" t="s">
        <v>240</v>
      </c>
      <c r="C135" s="15" t="s">
        <v>519</v>
      </c>
      <c r="D135" s="8" t="s">
        <v>205</v>
      </c>
      <c r="E135" s="9">
        <v>0</v>
      </c>
      <c r="F135" s="9">
        <v>0</v>
      </c>
      <c r="G135" s="9">
        <f>F135+E135</f>
        <v>0</v>
      </c>
      <c r="H135" s="9">
        <v>0</v>
      </c>
      <c r="I135" s="9">
        <f>H135+G135</f>
        <v>0</v>
      </c>
      <c r="J135" s="10" t="s">
        <v>359</v>
      </c>
      <c r="K135" s="10" t="s">
        <v>717</v>
      </c>
      <c r="L135" s="11" t="str">
        <f>IF(I135&gt;=50,"ناجح","راسب")</f>
        <v>راسب</v>
      </c>
      <c r="M135" s="11" t="str">
        <f>IF(I135&gt;=90,"امتياز",IF(I135&gt;=80,"جيدجدا",IF(I135&gt;=70,"جيد",IF(I135&gt;=60,"متوسط ",IF(I135&gt;=50,"مقبول","ضعيف")))))</f>
        <v>ضعيف</v>
      </c>
      <c r="N135" s="7"/>
      <c r="O135" s="7"/>
      <c r="P135" s="7">
        <v>36</v>
      </c>
      <c r="Q135" s="7">
        <v>59</v>
      </c>
      <c r="R135" s="17">
        <v>61.02</v>
      </c>
      <c r="S135" s="17"/>
      <c r="T135" s="17"/>
      <c r="U135" s="17"/>
    </row>
    <row r="136" spans="1:21" ht="24" customHeight="1" thickBot="1" x14ac:dyDescent="0.3">
      <c r="A136" s="6">
        <v>159</v>
      </c>
      <c r="B136" s="13" t="s">
        <v>192</v>
      </c>
      <c r="C136" s="15" t="s">
        <v>518</v>
      </c>
      <c r="D136" s="8" t="s">
        <v>205</v>
      </c>
      <c r="E136" s="9">
        <v>50</v>
      </c>
      <c r="F136" s="9">
        <v>8</v>
      </c>
      <c r="G136" s="9">
        <f>F136+E136</f>
        <v>58</v>
      </c>
      <c r="H136" s="9">
        <v>0</v>
      </c>
      <c r="I136" s="9">
        <f>H136+G136</f>
        <v>58</v>
      </c>
      <c r="J136" s="10" t="s">
        <v>359</v>
      </c>
      <c r="K136" s="10" t="s">
        <v>717</v>
      </c>
      <c r="L136" s="11" t="str">
        <f>IF(I136&gt;=50,"ناجح","راسب")</f>
        <v>ناجح</v>
      </c>
      <c r="M136" s="11" t="str">
        <f>IF(I136&gt;=90,"امتياز",IF(I136&gt;=80,"جيدجدا",IF(I136&gt;=70,"جيد",IF(I136&gt;=60,"متوسط ",IF(I136&gt;=50,"مقبول","ضعيف")))))</f>
        <v>مقبول</v>
      </c>
      <c r="N136" s="7">
        <v>15</v>
      </c>
      <c r="O136" s="7" t="s">
        <v>6</v>
      </c>
      <c r="P136" s="7">
        <v>36</v>
      </c>
      <c r="Q136" s="7">
        <v>59</v>
      </c>
      <c r="R136" s="17">
        <v>61.02</v>
      </c>
      <c r="S136" s="17"/>
      <c r="T136" s="17"/>
      <c r="U136" s="17"/>
    </row>
    <row r="137" spans="1:21" ht="24" customHeight="1" thickBot="1" x14ac:dyDescent="0.3">
      <c r="A137" s="6">
        <v>158</v>
      </c>
      <c r="B137" s="13" t="s">
        <v>191</v>
      </c>
      <c r="C137" s="15" t="s">
        <v>517</v>
      </c>
      <c r="D137" s="8" t="s">
        <v>205</v>
      </c>
      <c r="E137" s="9">
        <v>30</v>
      </c>
      <c r="F137" s="9">
        <v>6</v>
      </c>
      <c r="G137" s="9">
        <f>F137+E137</f>
        <v>36</v>
      </c>
      <c r="H137" s="9">
        <v>0</v>
      </c>
      <c r="I137" s="9">
        <f>H137+G137</f>
        <v>36</v>
      </c>
      <c r="J137" s="10" t="s">
        <v>359</v>
      </c>
      <c r="K137" s="10" t="s">
        <v>717</v>
      </c>
      <c r="L137" s="11" t="str">
        <f>IF(I137&gt;=50,"ناجح","راسب")</f>
        <v>راسب</v>
      </c>
      <c r="M137" s="11" t="str">
        <f>IF(I137&gt;=90,"امتياز",IF(I137&gt;=80,"جيدجدا",IF(I137&gt;=70,"جيد",IF(I137&gt;=60,"متوسط ",IF(I137&gt;=50,"مقبول","ضعيف")))))</f>
        <v>ضعيف</v>
      </c>
      <c r="N137" s="7"/>
      <c r="O137" s="7"/>
      <c r="P137" s="7">
        <v>36</v>
      </c>
      <c r="Q137" s="7">
        <v>59</v>
      </c>
      <c r="R137" s="17">
        <v>61.02</v>
      </c>
      <c r="S137" s="17"/>
      <c r="T137" s="17"/>
      <c r="U137" s="17"/>
    </row>
    <row r="138" spans="1:21" ht="24" customHeight="1" thickBot="1" x14ac:dyDescent="0.3">
      <c r="A138" s="6">
        <v>157</v>
      </c>
      <c r="B138" s="13" t="s">
        <v>239</v>
      </c>
      <c r="C138" s="15" t="s">
        <v>516</v>
      </c>
      <c r="D138" s="8" t="s">
        <v>205</v>
      </c>
      <c r="E138" s="9">
        <v>0</v>
      </c>
      <c r="F138" s="9">
        <v>0</v>
      </c>
      <c r="G138" s="9">
        <f>F138+E138</f>
        <v>0</v>
      </c>
      <c r="H138" s="9">
        <v>0</v>
      </c>
      <c r="I138" s="9">
        <f>H138+G138</f>
        <v>0</v>
      </c>
      <c r="J138" s="10" t="s">
        <v>359</v>
      </c>
      <c r="K138" s="10" t="s">
        <v>717</v>
      </c>
      <c r="L138" s="11" t="str">
        <f>IF(I138&gt;=50,"ناجح","راسب")</f>
        <v>راسب</v>
      </c>
      <c r="M138" s="11" t="str">
        <f>IF(I138&gt;=90,"امتياز",IF(I138&gt;=80,"جيدجدا",IF(I138&gt;=70,"جيد",IF(I138&gt;=60,"متوسط ",IF(I138&gt;=50,"مقبول","ضعيف")))))</f>
        <v>ضعيف</v>
      </c>
      <c r="N138" s="7"/>
      <c r="O138" s="7"/>
      <c r="P138" s="7">
        <v>36</v>
      </c>
      <c r="Q138" s="7">
        <v>59</v>
      </c>
      <c r="R138" s="17">
        <v>61.02</v>
      </c>
      <c r="S138" s="17"/>
      <c r="T138" s="17"/>
      <c r="U138" s="17"/>
    </row>
    <row r="139" spans="1:21" ht="24" customHeight="1" thickBot="1" x14ac:dyDescent="0.3">
      <c r="A139" s="6">
        <v>156</v>
      </c>
      <c r="B139" s="13" t="s">
        <v>190</v>
      </c>
      <c r="C139" s="15" t="s">
        <v>515</v>
      </c>
      <c r="D139" s="8" t="s">
        <v>205</v>
      </c>
      <c r="E139" s="9">
        <v>57</v>
      </c>
      <c r="F139" s="9">
        <v>20</v>
      </c>
      <c r="G139" s="9">
        <f>F139+E139</f>
        <v>77</v>
      </c>
      <c r="H139" s="9">
        <v>0</v>
      </c>
      <c r="I139" s="9">
        <f>H139+G139</f>
        <v>77</v>
      </c>
      <c r="J139" s="10" t="s">
        <v>359</v>
      </c>
      <c r="K139" s="10" t="s">
        <v>717</v>
      </c>
      <c r="L139" s="11" t="str">
        <f>IF(I139&gt;=50,"ناجح","راسب")</f>
        <v>ناجح</v>
      </c>
      <c r="M139" s="11" t="str">
        <f>IF(I139&gt;=90,"امتياز",IF(I139&gt;=80,"جيدجدا",IF(I139&gt;=70,"جيد",IF(I139&gt;=60,"متوسط ",IF(I139&gt;=50,"مقبول","ضعيف")))))</f>
        <v>جيد</v>
      </c>
      <c r="N139" s="7">
        <v>1</v>
      </c>
      <c r="O139" s="7" t="s">
        <v>6</v>
      </c>
      <c r="P139" s="7">
        <v>36</v>
      </c>
      <c r="Q139" s="7">
        <v>59</v>
      </c>
      <c r="R139" s="17">
        <v>61.02</v>
      </c>
      <c r="S139" s="17"/>
      <c r="T139" s="17"/>
      <c r="U139" s="17"/>
    </row>
    <row r="140" spans="1:21" ht="24" customHeight="1" thickBot="1" x14ac:dyDescent="0.3">
      <c r="A140" s="6">
        <v>155</v>
      </c>
      <c r="B140" s="13" t="s">
        <v>189</v>
      </c>
      <c r="C140" s="15" t="s">
        <v>514</v>
      </c>
      <c r="D140" s="8" t="s">
        <v>205</v>
      </c>
      <c r="E140" s="9">
        <v>55</v>
      </c>
      <c r="F140" s="9">
        <v>15</v>
      </c>
      <c r="G140" s="9">
        <f>F140+E140</f>
        <v>70</v>
      </c>
      <c r="H140" s="9">
        <v>0</v>
      </c>
      <c r="I140" s="9">
        <f>H140+G140</f>
        <v>70</v>
      </c>
      <c r="J140" s="10" t="s">
        <v>359</v>
      </c>
      <c r="K140" s="10" t="s">
        <v>717</v>
      </c>
      <c r="L140" s="11" t="str">
        <f>IF(I140&gt;=50,"ناجح","راسب")</f>
        <v>ناجح</v>
      </c>
      <c r="M140" s="11" t="str">
        <f>IF(I140&gt;=90,"امتياز",IF(I140&gt;=80,"جيدجدا",IF(I140&gt;=70,"جيد",IF(I140&gt;=60,"متوسط ",IF(I140&gt;=50,"مقبول","ضعيف")))))</f>
        <v>جيد</v>
      </c>
      <c r="N140" s="7">
        <v>5</v>
      </c>
      <c r="O140" s="7" t="s">
        <v>6</v>
      </c>
      <c r="P140" s="7">
        <v>36</v>
      </c>
      <c r="Q140" s="7">
        <v>59</v>
      </c>
      <c r="R140" s="17">
        <v>61.02</v>
      </c>
      <c r="S140" s="17"/>
      <c r="T140" s="17"/>
      <c r="U140" s="17"/>
    </row>
    <row r="141" spans="1:21" ht="24" customHeight="1" thickBot="1" x14ac:dyDescent="0.3">
      <c r="A141" s="6">
        <v>154</v>
      </c>
      <c r="B141" s="13" t="s">
        <v>188</v>
      </c>
      <c r="C141" s="15" t="s">
        <v>513</v>
      </c>
      <c r="D141" s="8" t="s">
        <v>205</v>
      </c>
      <c r="E141" s="9">
        <v>55</v>
      </c>
      <c r="F141" s="9">
        <v>20</v>
      </c>
      <c r="G141" s="9">
        <f>F141+E141</f>
        <v>75</v>
      </c>
      <c r="H141" s="9">
        <v>0</v>
      </c>
      <c r="I141" s="9">
        <f>H141+G141</f>
        <v>75</v>
      </c>
      <c r="J141" s="10" t="s">
        <v>359</v>
      </c>
      <c r="K141" s="10" t="s">
        <v>717</v>
      </c>
      <c r="L141" s="11" t="str">
        <f>IF(I141&gt;=50,"ناجح","راسب")</f>
        <v>ناجح</v>
      </c>
      <c r="M141" s="11" t="str">
        <f>IF(I141&gt;=90,"امتياز",IF(I141&gt;=80,"جيدجدا",IF(I141&gt;=70,"جيد",IF(I141&gt;=60,"متوسط ",IF(I141&gt;=50,"مقبول","ضعيف")))))</f>
        <v>جيد</v>
      </c>
      <c r="N141" s="7">
        <v>2</v>
      </c>
      <c r="O141" s="7" t="s">
        <v>6</v>
      </c>
      <c r="P141" s="7">
        <v>36</v>
      </c>
      <c r="Q141" s="7">
        <v>59</v>
      </c>
      <c r="R141" s="17">
        <v>61.02</v>
      </c>
      <c r="S141" s="17"/>
      <c r="T141" s="17"/>
      <c r="U141" s="17"/>
    </row>
    <row r="142" spans="1:21" ht="24" customHeight="1" thickBot="1" x14ac:dyDescent="0.3">
      <c r="A142" s="6">
        <v>153</v>
      </c>
      <c r="B142" s="13" t="s">
        <v>238</v>
      </c>
      <c r="C142" s="15" t="s">
        <v>512</v>
      </c>
      <c r="D142" s="8" t="s">
        <v>205</v>
      </c>
      <c r="E142" s="9">
        <v>0</v>
      </c>
      <c r="F142" s="9">
        <v>0</v>
      </c>
      <c r="G142" s="9">
        <f>F142+E142</f>
        <v>0</v>
      </c>
      <c r="H142" s="9">
        <v>0</v>
      </c>
      <c r="I142" s="9">
        <f>H142+G142</f>
        <v>0</v>
      </c>
      <c r="J142" s="10" t="s">
        <v>359</v>
      </c>
      <c r="K142" s="10" t="s">
        <v>717</v>
      </c>
      <c r="L142" s="11" t="str">
        <f>IF(I142&gt;=50,"ناجح","راسب")</f>
        <v>راسب</v>
      </c>
      <c r="M142" s="11" t="str">
        <f>IF(I142&gt;=90,"امتياز",IF(I142&gt;=80,"جيدجدا",IF(I142&gt;=70,"جيد",IF(I142&gt;=60,"متوسط ",IF(I142&gt;=50,"مقبول","ضعيف")))))</f>
        <v>ضعيف</v>
      </c>
      <c r="N142" s="7"/>
      <c r="O142" s="7"/>
      <c r="P142" s="7">
        <v>36</v>
      </c>
      <c r="Q142" s="7">
        <v>59</v>
      </c>
      <c r="R142" s="17">
        <v>61.02</v>
      </c>
      <c r="S142" s="17"/>
      <c r="T142" s="17"/>
      <c r="U142" s="17"/>
    </row>
    <row r="143" spans="1:21" ht="24" customHeight="1" thickBot="1" x14ac:dyDescent="0.3">
      <c r="A143" s="6">
        <v>152</v>
      </c>
      <c r="B143" s="13" t="s">
        <v>187</v>
      </c>
      <c r="C143" s="15" t="s">
        <v>511</v>
      </c>
      <c r="D143" s="8" t="s">
        <v>205</v>
      </c>
      <c r="E143" s="9">
        <v>69</v>
      </c>
      <c r="F143" s="9">
        <v>0</v>
      </c>
      <c r="G143" s="9">
        <f>F143+E143</f>
        <v>69</v>
      </c>
      <c r="H143" s="9">
        <v>0</v>
      </c>
      <c r="I143" s="9">
        <f>H143+G143</f>
        <v>69</v>
      </c>
      <c r="J143" s="10" t="s">
        <v>359</v>
      </c>
      <c r="K143" s="10" t="s">
        <v>717</v>
      </c>
      <c r="L143" s="11" t="str">
        <f>IF(I143&gt;=50,"ناجح","راسب")</f>
        <v>ناجح</v>
      </c>
      <c r="M143" s="11" t="str">
        <f>IF(I143&gt;=90,"امتياز",IF(I143&gt;=80,"جيدجدا",IF(I143&gt;=70,"جيد",IF(I143&gt;=60,"متوسط ",IF(I143&gt;=50,"مقبول","ضعيف")))))</f>
        <v xml:space="preserve">متوسط </v>
      </c>
      <c r="N143" s="7">
        <v>6</v>
      </c>
      <c r="O143" s="7" t="s">
        <v>6</v>
      </c>
      <c r="P143" s="7">
        <v>36</v>
      </c>
      <c r="Q143" s="7">
        <v>59</v>
      </c>
      <c r="R143" s="17">
        <v>61.02</v>
      </c>
      <c r="S143" s="17"/>
      <c r="T143" s="17"/>
      <c r="U143" s="17"/>
    </row>
    <row r="144" spans="1:21" ht="24" customHeight="1" thickBot="1" x14ac:dyDescent="0.3">
      <c r="A144" s="6">
        <v>151</v>
      </c>
      <c r="B144" s="13" t="s">
        <v>186</v>
      </c>
      <c r="C144" s="15" t="s">
        <v>510</v>
      </c>
      <c r="D144" s="8" t="s">
        <v>205</v>
      </c>
      <c r="E144" s="9">
        <v>52</v>
      </c>
      <c r="F144" s="9">
        <v>12</v>
      </c>
      <c r="G144" s="9">
        <f>F144+E144</f>
        <v>64</v>
      </c>
      <c r="H144" s="9">
        <v>0</v>
      </c>
      <c r="I144" s="9">
        <f>H144+G144</f>
        <v>64</v>
      </c>
      <c r="J144" s="10" t="s">
        <v>359</v>
      </c>
      <c r="K144" s="10" t="s">
        <v>717</v>
      </c>
      <c r="L144" s="11" t="str">
        <f>IF(I144&gt;=50,"ناجح","راسب")</f>
        <v>ناجح</v>
      </c>
      <c r="M144" s="11" t="str">
        <f>IF(I144&gt;=90,"امتياز",IF(I144&gt;=80,"جيدجدا",IF(I144&gt;=70,"جيد",IF(I144&gt;=60,"متوسط ",IF(I144&gt;=50,"مقبول","ضعيف")))))</f>
        <v xml:space="preserve">متوسط </v>
      </c>
      <c r="N144" s="7">
        <v>10</v>
      </c>
      <c r="O144" s="7" t="s">
        <v>6</v>
      </c>
      <c r="P144" s="7">
        <v>36</v>
      </c>
      <c r="Q144" s="7">
        <v>59</v>
      </c>
      <c r="R144" s="17">
        <v>61.02</v>
      </c>
      <c r="S144" s="17"/>
      <c r="T144" s="17"/>
      <c r="U144" s="17"/>
    </row>
    <row r="145" spans="1:21" ht="24" customHeight="1" thickBot="1" x14ac:dyDescent="0.3">
      <c r="A145" s="6">
        <v>150</v>
      </c>
      <c r="B145" s="13" t="s">
        <v>185</v>
      </c>
      <c r="C145" s="15" t="s">
        <v>509</v>
      </c>
      <c r="D145" s="8" t="s">
        <v>205</v>
      </c>
      <c r="E145" s="9">
        <v>44</v>
      </c>
      <c r="F145" s="9">
        <v>20</v>
      </c>
      <c r="G145" s="9">
        <f>F145+E145</f>
        <v>64</v>
      </c>
      <c r="H145" s="9">
        <v>0</v>
      </c>
      <c r="I145" s="9">
        <f>H145+G145</f>
        <v>64</v>
      </c>
      <c r="J145" s="10" t="s">
        <v>359</v>
      </c>
      <c r="K145" s="10" t="s">
        <v>717</v>
      </c>
      <c r="L145" s="11" t="str">
        <f>IF(I145&gt;=50,"ناجح","راسب")</f>
        <v>ناجح</v>
      </c>
      <c r="M145" s="11" t="str">
        <f>IF(I145&gt;=90,"امتياز",IF(I145&gt;=80,"جيدجدا",IF(I145&gt;=70,"جيد",IF(I145&gt;=60,"متوسط ",IF(I145&gt;=50,"مقبول","ضعيف")))))</f>
        <v xml:space="preserve">متوسط </v>
      </c>
      <c r="N145" s="7">
        <v>10</v>
      </c>
      <c r="O145" s="7" t="s">
        <v>6</v>
      </c>
      <c r="P145" s="7">
        <v>36</v>
      </c>
      <c r="Q145" s="7">
        <v>59</v>
      </c>
      <c r="R145" s="17">
        <v>61.02</v>
      </c>
      <c r="S145" s="17"/>
      <c r="T145" s="17"/>
      <c r="U145" s="17"/>
    </row>
    <row r="146" spans="1:21" ht="24" customHeight="1" thickBot="1" x14ac:dyDescent="0.3">
      <c r="A146" s="6">
        <v>149</v>
      </c>
      <c r="B146" s="13" t="s">
        <v>184</v>
      </c>
      <c r="C146" s="15" t="s">
        <v>508</v>
      </c>
      <c r="D146" s="8" t="s">
        <v>205</v>
      </c>
      <c r="E146" s="9">
        <v>32</v>
      </c>
      <c r="F146" s="9">
        <v>2</v>
      </c>
      <c r="G146" s="9">
        <f>F146+E146</f>
        <v>34</v>
      </c>
      <c r="H146" s="9">
        <v>0</v>
      </c>
      <c r="I146" s="9">
        <f>H146+G146</f>
        <v>34</v>
      </c>
      <c r="J146" s="10" t="s">
        <v>359</v>
      </c>
      <c r="K146" s="10" t="s">
        <v>717</v>
      </c>
      <c r="L146" s="11" t="str">
        <f>IF(I146&gt;=50,"ناجح","راسب")</f>
        <v>راسب</v>
      </c>
      <c r="M146" s="11" t="str">
        <f>IF(I146&gt;=90,"امتياز",IF(I146&gt;=80,"جيدجدا",IF(I146&gt;=70,"جيد",IF(I146&gt;=60,"متوسط ",IF(I146&gt;=50,"مقبول","ضعيف")))))</f>
        <v>ضعيف</v>
      </c>
      <c r="N146" s="7"/>
      <c r="O146" s="7"/>
      <c r="P146" s="7">
        <v>36</v>
      </c>
      <c r="Q146" s="7">
        <v>59</v>
      </c>
      <c r="R146" s="17">
        <v>61.02</v>
      </c>
      <c r="S146" s="17"/>
      <c r="T146" s="17"/>
      <c r="U146" s="17"/>
    </row>
    <row r="147" spans="1:21" ht="24" customHeight="1" thickBot="1" x14ac:dyDescent="0.3">
      <c r="A147" s="6">
        <v>148</v>
      </c>
      <c r="B147" s="13" t="s">
        <v>183</v>
      </c>
      <c r="C147" s="15" t="s">
        <v>507</v>
      </c>
      <c r="D147" s="8" t="s">
        <v>205</v>
      </c>
      <c r="E147" s="9">
        <v>34</v>
      </c>
      <c r="F147" s="9">
        <v>20</v>
      </c>
      <c r="G147" s="9">
        <f>F147+E147</f>
        <v>54</v>
      </c>
      <c r="H147" s="9">
        <v>0</v>
      </c>
      <c r="I147" s="9">
        <f>H147+G147</f>
        <v>54</v>
      </c>
      <c r="J147" s="10" t="s">
        <v>359</v>
      </c>
      <c r="K147" s="10" t="s">
        <v>717</v>
      </c>
      <c r="L147" s="11" t="str">
        <f>IF(I147&gt;=50,"ناجح","راسب")</f>
        <v>ناجح</v>
      </c>
      <c r="M147" s="11" t="str">
        <f>IF(I147&gt;=90,"امتياز",IF(I147&gt;=80,"جيدجدا",IF(I147&gt;=70,"جيد",IF(I147&gt;=60,"متوسط ",IF(I147&gt;=50,"مقبول","ضعيف")))))</f>
        <v>مقبول</v>
      </c>
      <c r="N147" s="7">
        <v>18</v>
      </c>
      <c r="O147" s="7" t="s">
        <v>6</v>
      </c>
      <c r="P147" s="7">
        <v>36</v>
      </c>
      <c r="Q147" s="7">
        <v>59</v>
      </c>
      <c r="R147" s="17">
        <v>61.02</v>
      </c>
      <c r="S147" s="17"/>
      <c r="T147" s="17"/>
      <c r="U147" s="17"/>
    </row>
    <row r="148" spans="1:21" ht="24" customHeight="1" thickBot="1" x14ac:dyDescent="0.3">
      <c r="A148" s="6">
        <v>147</v>
      </c>
      <c r="B148" s="13" t="s">
        <v>182</v>
      </c>
      <c r="C148" s="15" t="s">
        <v>506</v>
      </c>
      <c r="D148" s="8" t="s">
        <v>205</v>
      </c>
      <c r="E148" s="9">
        <v>30</v>
      </c>
      <c r="F148" s="9">
        <v>12</v>
      </c>
      <c r="G148" s="9">
        <f>F148+E148</f>
        <v>42</v>
      </c>
      <c r="H148" s="9">
        <v>0</v>
      </c>
      <c r="I148" s="9">
        <f>H148+G148</f>
        <v>42</v>
      </c>
      <c r="J148" s="10" t="s">
        <v>359</v>
      </c>
      <c r="K148" s="10" t="s">
        <v>717</v>
      </c>
      <c r="L148" s="11" t="str">
        <f>IF(I148&gt;=50,"ناجح","راسب")</f>
        <v>راسب</v>
      </c>
      <c r="M148" s="11" t="str">
        <f>IF(I148&gt;=90,"امتياز",IF(I148&gt;=80,"جيدجدا",IF(I148&gt;=70,"جيد",IF(I148&gt;=60,"متوسط ",IF(I148&gt;=50,"مقبول","ضعيف")))))</f>
        <v>ضعيف</v>
      </c>
      <c r="N148" s="7"/>
      <c r="O148" s="7"/>
      <c r="P148" s="7">
        <v>36</v>
      </c>
      <c r="Q148" s="7">
        <v>59</v>
      </c>
      <c r="R148" s="17">
        <v>61.02</v>
      </c>
      <c r="S148" s="17"/>
      <c r="T148" s="17"/>
      <c r="U148" s="17"/>
    </row>
    <row r="149" spans="1:21" ht="24" customHeight="1" thickBot="1" x14ac:dyDescent="0.3">
      <c r="A149" s="6">
        <v>146</v>
      </c>
      <c r="B149" s="13" t="s">
        <v>181</v>
      </c>
      <c r="C149" s="15" t="s">
        <v>505</v>
      </c>
      <c r="D149" s="8" t="s">
        <v>205</v>
      </c>
      <c r="E149" s="9">
        <v>37</v>
      </c>
      <c r="F149" s="9">
        <v>12</v>
      </c>
      <c r="G149" s="9">
        <f>F149+E149</f>
        <v>49</v>
      </c>
      <c r="H149" s="9">
        <v>0</v>
      </c>
      <c r="I149" s="9">
        <f>H149+G149</f>
        <v>49</v>
      </c>
      <c r="J149" s="10" t="s">
        <v>359</v>
      </c>
      <c r="K149" s="10" t="s">
        <v>717</v>
      </c>
      <c r="L149" s="11" t="str">
        <f>IF(I149&gt;=50,"ناجح","راسب")</f>
        <v>راسب</v>
      </c>
      <c r="M149" s="11" t="str">
        <f>IF(I149&gt;=90,"امتياز",IF(I149&gt;=80,"جيدجدا",IF(I149&gt;=70,"جيد",IF(I149&gt;=60,"متوسط ",IF(I149&gt;=50,"مقبول","ضعيف")))))</f>
        <v>ضعيف</v>
      </c>
      <c r="N149" s="7"/>
      <c r="O149" s="7"/>
      <c r="P149" s="7">
        <v>36</v>
      </c>
      <c r="Q149" s="7">
        <v>59</v>
      </c>
      <c r="R149" s="17">
        <v>61.02</v>
      </c>
      <c r="S149" s="17"/>
      <c r="T149" s="17"/>
      <c r="U149" s="17"/>
    </row>
    <row r="150" spans="1:21" ht="24" customHeight="1" thickBot="1" x14ac:dyDescent="0.3">
      <c r="A150" s="6">
        <v>145</v>
      </c>
      <c r="B150" s="13" t="s">
        <v>180</v>
      </c>
      <c r="C150" s="15" t="s">
        <v>504</v>
      </c>
      <c r="D150" s="8" t="s">
        <v>205</v>
      </c>
      <c r="E150" s="9">
        <v>57</v>
      </c>
      <c r="F150" s="9">
        <v>5</v>
      </c>
      <c r="G150" s="9">
        <f>F150+E150</f>
        <v>62</v>
      </c>
      <c r="H150" s="9">
        <v>0</v>
      </c>
      <c r="I150" s="9">
        <f>H150+G150</f>
        <v>62</v>
      </c>
      <c r="J150" s="10" t="s">
        <v>359</v>
      </c>
      <c r="K150" s="10" t="s">
        <v>717</v>
      </c>
      <c r="L150" s="11" t="str">
        <f>IF(I150&gt;=50,"ناجح","راسب")</f>
        <v>ناجح</v>
      </c>
      <c r="M150" s="11" t="str">
        <f>IF(I150&gt;=90,"امتياز",IF(I150&gt;=80,"جيدجدا",IF(I150&gt;=70,"جيد",IF(I150&gt;=60,"متوسط ",IF(I150&gt;=50,"مقبول","ضعيف")))))</f>
        <v xml:space="preserve">متوسط </v>
      </c>
      <c r="N150" s="7">
        <v>12</v>
      </c>
      <c r="O150" s="7" t="s">
        <v>6</v>
      </c>
      <c r="P150" s="7">
        <v>36</v>
      </c>
      <c r="Q150" s="7">
        <v>59</v>
      </c>
      <c r="R150" s="17">
        <v>61.02</v>
      </c>
      <c r="S150" s="17"/>
      <c r="T150" s="17"/>
      <c r="U150" s="17"/>
    </row>
    <row r="151" spans="1:21" ht="24" customHeight="1" thickBot="1" x14ac:dyDescent="0.3">
      <c r="A151" s="6">
        <v>144</v>
      </c>
      <c r="B151" s="13" t="s">
        <v>179</v>
      </c>
      <c r="C151" s="15" t="s">
        <v>503</v>
      </c>
      <c r="D151" s="8" t="s">
        <v>205</v>
      </c>
      <c r="E151" s="9">
        <v>41</v>
      </c>
      <c r="F151" s="9">
        <v>2</v>
      </c>
      <c r="G151" s="9">
        <f>F151+E151</f>
        <v>43</v>
      </c>
      <c r="H151" s="9">
        <v>0</v>
      </c>
      <c r="I151" s="9">
        <f>H151+G151</f>
        <v>43</v>
      </c>
      <c r="J151" s="10" t="s">
        <v>359</v>
      </c>
      <c r="K151" s="10" t="s">
        <v>717</v>
      </c>
      <c r="L151" s="11" t="str">
        <f>IF(I151&gt;=50,"ناجح","راسب")</f>
        <v>راسب</v>
      </c>
      <c r="M151" s="11" t="str">
        <f>IF(I151&gt;=90,"امتياز",IF(I151&gt;=80,"جيدجدا",IF(I151&gt;=70,"جيد",IF(I151&gt;=60,"متوسط ",IF(I151&gt;=50,"مقبول","ضعيف")))))</f>
        <v>ضعيف</v>
      </c>
      <c r="N151" s="7"/>
      <c r="O151" s="7"/>
      <c r="P151" s="7">
        <v>36</v>
      </c>
      <c r="Q151" s="7">
        <v>59</v>
      </c>
      <c r="R151" s="17">
        <v>61.02</v>
      </c>
      <c r="S151" s="17"/>
      <c r="T151" s="17"/>
      <c r="U151" s="17"/>
    </row>
    <row r="152" spans="1:21" ht="24" customHeight="1" thickBot="1" x14ac:dyDescent="0.3">
      <c r="A152" s="6">
        <v>143</v>
      </c>
      <c r="B152" s="13" t="s">
        <v>178</v>
      </c>
      <c r="C152" s="15" t="s">
        <v>502</v>
      </c>
      <c r="D152" s="8" t="s">
        <v>205</v>
      </c>
      <c r="E152" s="9">
        <v>41</v>
      </c>
      <c r="F152" s="9">
        <v>15</v>
      </c>
      <c r="G152" s="9">
        <f>F152+E152</f>
        <v>56</v>
      </c>
      <c r="H152" s="9">
        <v>0</v>
      </c>
      <c r="I152" s="9">
        <f>H152+G152</f>
        <v>56</v>
      </c>
      <c r="J152" s="10" t="s">
        <v>359</v>
      </c>
      <c r="K152" s="10" t="s">
        <v>717</v>
      </c>
      <c r="L152" s="11" t="str">
        <f>IF(I152&gt;=50,"ناجح","راسب")</f>
        <v>ناجح</v>
      </c>
      <c r="M152" s="11" t="str">
        <f>IF(I152&gt;=90,"امتياز",IF(I152&gt;=80,"جيدجدا",IF(I152&gt;=70,"جيد",IF(I152&gt;=60,"متوسط ",IF(I152&gt;=50,"مقبول","ضعيف")))))</f>
        <v>مقبول</v>
      </c>
      <c r="N152" s="7">
        <v>17</v>
      </c>
      <c r="O152" s="7" t="s">
        <v>6</v>
      </c>
      <c r="P152" s="7">
        <v>36</v>
      </c>
      <c r="Q152" s="7">
        <v>59</v>
      </c>
      <c r="R152" s="17">
        <v>61.02</v>
      </c>
      <c r="S152" s="17"/>
      <c r="T152" s="17"/>
      <c r="U152" s="17"/>
    </row>
    <row r="153" spans="1:21" ht="24" customHeight="1" thickBot="1" x14ac:dyDescent="0.3">
      <c r="A153" s="6">
        <v>142</v>
      </c>
      <c r="B153" s="13" t="s">
        <v>177</v>
      </c>
      <c r="C153" s="15" t="s">
        <v>501</v>
      </c>
      <c r="D153" s="8" t="s">
        <v>205</v>
      </c>
      <c r="E153" s="9">
        <v>36</v>
      </c>
      <c r="F153" s="9">
        <v>15</v>
      </c>
      <c r="G153" s="9">
        <f>F153+E153</f>
        <v>51</v>
      </c>
      <c r="H153" s="9">
        <v>0</v>
      </c>
      <c r="I153" s="9">
        <f>H153+G153</f>
        <v>51</v>
      </c>
      <c r="J153" s="10" t="s">
        <v>359</v>
      </c>
      <c r="K153" s="10" t="s">
        <v>717</v>
      </c>
      <c r="L153" s="11" t="str">
        <f>IF(I153&gt;=50,"ناجح","راسب")</f>
        <v>ناجح</v>
      </c>
      <c r="M153" s="11" t="str">
        <f>IF(I153&gt;=90,"امتياز",IF(I153&gt;=80,"جيدجدا",IF(I153&gt;=70,"جيد",IF(I153&gt;=60,"متوسط ",IF(I153&gt;=50,"مقبول","ضعيف")))))</f>
        <v>مقبول</v>
      </c>
      <c r="N153" s="7">
        <v>19</v>
      </c>
      <c r="O153" s="7" t="s">
        <v>6</v>
      </c>
      <c r="P153" s="7">
        <v>36</v>
      </c>
      <c r="Q153" s="7">
        <v>59</v>
      </c>
      <c r="R153" s="17">
        <v>61.02</v>
      </c>
      <c r="S153" s="17"/>
      <c r="T153" s="17"/>
      <c r="U153" s="17"/>
    </row>
    <row r="154" spans="1:21" ht="24" customHeight="1" thickBot="1" x14ac:dyDescent="0.3">
      <c r="A154" s="6">
        <v>141</v>
      </c>
      <c r="B154" s="13" t="s">
        <v>176</v>
      </c>
      <c r="C154" s="15" t="s">
        <v>500</v>
      </c>
      <c r="D154" s="8" t="s">
        <v>205</v>
      </c>
      <c r="E154" s="9">
        <v>60</v>
      </c>
      <c r="F154" s="9">
        <v>5</v>
      </c>
      <c r="G154" s="9">
        <f>F154+E154</f>
        <v>65</v>
      </c>
      <c r="H154" s="9">
        <v>0</v>
      </c>
      <c r="I154" s="9">
        <f>H154+G154</f>
        <v>65</v>
      </c>
      <c r="J154" s="10" t="s">
        <v>359</v>
      </c>
      <c r="K154" s="10" t="s">
        <v>717</v>
      </c>
      <c r="L154" s="11" t="str">
        <f>IF(I154&gt;=50,"ناجح","راسب")</f>
        <v>ناجح</v>
      </c>
      <c r="M154" s="11" t="str">
        <f>IF(I154&gt;=90,"امتياز",IF(I154&gt;=80,"جيدجدا",IF(I154&gt;=70,"جيد",IF(I154&gt;=60,"متوسط ",IF(I154&gt;=50,"مقبول","ضعيف")))))</f>
        <v xml:space="preserve">متوسط </v>
      </c>
      <c r="N154" s="7">
        <v>9</v>
      </c>
      <c r="O154" s="7" t="s">
        <v>6</v>
      </c>
      <c r="P154" s="7">
        <v>36</v>
      </c>
      <c r="Q154" s="7">
        <v>59</v>
      </c>
      <c r="R154" s="17">
        <v>61.02</v>
      </c>
      <c r="S154" s="17"/>
      <c r="T154" s="17"/>
      <c r="U154" s="17"/>
    </row>
    <row r="155" spans="1:21" ht="24" customHeight="1" thickBot="1" x14ac:dyDescent="0.3">
      <c r="A155" s="6">
        <v>140</v>
      </c>
      <c r="B155" s="13" t="s">
        <v>175</v>
      </c>
      <c r="C155" s="15" t="s">
        <v>499</v>
      </c>
      <c r="D155" s="8" t="s">
        <v>205</v>
      </c>
      <c r="E155" s="9">
        <v>60</v>
      </c>
      <c r="F155" s="9">
        <v>15</v>
      </c>
      <c r="G155" s="9">
        <f>F155+E155</f>
        <v>75</v>
      </c>
      <c r="H155" s="9">
        <v>0</v>
      </c>
      <c r="I155" s="9">
        <f>H155+G155</f>
        <v>75</v>
      </c>
      <c r="J155" s="10" t="s">
        <v>359</v>
      </c>
      <c r="K155" s="10" t="s">
        <v>717</v>
      </c>
      <c r="L155" s="11" t="str">
        <f>IF(I155&gt;=50,"ناجح","راسب")</f>
        <v>ناجح</v>
      </c>
      <c r="M155" s="11" t="str">
        <f>IF(I155&gt;=90,"امتياز",IF(I155&gt;=80,"جيدجدا",IF(I155&gt;=70,"جيد",IF(I155&gt;=60,"متوسط ",IF(I155&gt;=50,"مقبول","ضعيف")))))</f>
        <v>جيد</v>
      </c>
      <c r="N155" s="7">
        <v>2</v>
      </c>
      <c r="O155" s="7" t="s">
        <v>6</v>
      </c>
      <c r="P155" s="7">
        <v>36</v>
      </c>
      <c r="Q155" s="7">
        <v>59</v>
      </c>
      <c r="R155" s="17">
        <v>61.02</v>
      </c>
      <c r="S155" s="17"/>
      <c r="T155" s="17"/>
      <c r="U155" s="17"/>
    </row>
    <row r="156" spans="1:21" ht="24" customHeight="1" thickBot="1" x14ac:dyDescent="0.3">
      <c r="A156" s="6">
        <v>139</v>
      </c>
      <c r="B156" s="13" t="s">
        <v>174</v>
      </c>
      <c r="C156" s="15" t="s">
        <v>498</v>
      </c>
      <c r="D156" s="8" t="s">
        <v>205</v>
      </c>
      <c r="E156" s="9">
        <v>52</v>
      </c>
      <c r="F156" s="9">
        <v>5</v>
      </c>
      <c r="G156" s="9">
        <f>F156+E156</f>
        <v>57</v>
      </c>
      <c r="H156" s="9">
        <v>0</v>
      </c>
      <c r="I156" s="9">
        <f>H156+G156</f>
        <v>57</v>
      </c>
      <c r="J156" s="10" t="s">
        <v>359</v>
      </c>
      <c r="K156" s="10" t="s">
        <v>717</v>
      </c>
      <c r="L156" s="11" t="str">
        <f>IF(I156&gt;=50,"ناجح","راسب")</f>
        <v>ناجح</v>
      </c>
      <c r="M156" s="11" t="str">
        <f>IF(I156&gt;=90,"امتياز",IF(I156&gt;=80,"جيدجدا",IF(I156&gt;=70,"جيد",IF(I156&gt;=60,"متوسط ",IF(I156&gt;=50,"مقبول","ضعيف")))))</f>
        <v>مقبول</v>
      </c>
      <c r="N156" s="7">
        <v>16</v>
      </c>
      <c r="O156" s="7" t="s">
        <v>6</v>
      </c>
      <c r="P156" s="7">
        <v>36</v>
      </c>
      <c r="Q156" s="7">
        <v>59</v>
      </c>
      <c r="R156" s="17">
        <v>61.02</v>
      </c>
      <c r="S156" s="17"/>
      <c r="T156" s="17"/>
      <c r="U156" s="17"/>
    </row>
    <row r="157" spans="1:21" ht="24" customHeight="1" thickBot="1" x14ac:dyDescent="0.3">
      <c r="A157" s="6">
        <v>138</v>
      </c>
      <c r="B157" s="13" t="s">
        <v>173</v>
      </c>
      <c r="C157" s="15" t="s">
        <v>497</v>
      </c>
      <c r="D157" s="8" t="s">
        <v>205</v>
      </c>
      <c r="E157" s="9">
        <v>32</v>
      </c>
      <c r="F157" s="9">
        <v>0</v>
      </c>
      <c r="G157" s="9">
        <f>F157+E157</f>
        <v>32</v>
      </c>
      <c r="H157" s="9">
        <v>0</v>
      </c>
      <c r="I157" s="9">
        <f>H157+G157</f>
        <v>32</v>
      </c>
      <c r="J157" s="10" t="s">
        <v>359</v>
      </c>
      <c r="K157" s="10" t="s">
        <v>717</v>
      </c>
      <c r="L157" s="11" t="str">
        <f>IF(I157&gt;=50,"ناجح","راسب")</f>
        <v>راسب</v>
      </c>
      <c r="M157" s="11" t="str">
        <f>IF(I157&gt;=90,"امتياز",IF(I157&gt;=80,"جيدجدا",IF(I157&gt;=70,"جيد",IF(I157&gt;=60,"متوسط ",IF(I157&gt;=50,"مقبول","ضعيف")))))</f>
        <v>ضعيف</v>
      </c>
      <c r="N157" s="7"/>
      <c r="O157" s="7"/>
      <c r="P157" s="7">
        <v>36</v>
      </c>
      <c r="Q157" s="7">
        <v>59</v>
      </c>
      <c r="R157" s="17">
        <v>61.02</v>
      </c>
      <c r="S157" s="17"/>
      <c r="T157" s="17"/>
      <c r="U157" s="17"/>
    </row>
    <row r="158" spans="1:21" ht="24" customHeight="1" thickBot="1" x14ac:dyDescent="0.3">
      <c r="A158" s="6">
        <v>137</v>
      </c>
      <c r="B158" s="13" t="s">
        <v>172</v>
      </c>
      <c r="C158" s="15" t="s">
        <v>496</v>
      </c>
      <c r="D158" s="8" t="s">
        <v>205</v>
      </c>
      <c r="E158" s="9">
        <v>44</v>
      </c>
      <c r="F158" s="9">
        <v>5</v>
      </c>
      <c r="G158" s="9">
        <f>F158+E158</f>
        <v>49</v>
      </c>
      <c r="H158" s="9">
        <v>0</v>
      </c>
      <c r="I158" s="9">
        <f>H158+G158</f>
        <v>49</v>
      </c>
      <c r="J158" s="10" t="s">
        <v>359</v>
      </c>
      <c r="K158" s="10" t="s">
        <v>717</v>
      </c>
      <c r="L158" s="11" t="str">
        <f>IF(I158&gt;=50,"ناجح","راسب")</f>
        <v>راسب</v>
      </c>
      <c r="M158" s="11" t="str">
        <f>IF(I158&gt;=90,"امتياز",IF(I158&gt;=80,"جيدجدا",IF(I158&gt;=70,"جيد",IF(I158&gt;=60,"متوسط ",IF(I158&gt;=50,"مقبول","ضعيف")))))</f>
        <v>ضعيف</v>
      </c>
      <c r="N158" s="7"/>
      <c r="O158" s="7"/>
      <c r="P158" s="7">
        <v>36</v>
      </c>
      <c r="Q158" s="7">
        <v>59</v>
      </c>
      <c r="R158" s="17">
        <v>61.02</v>
      </c>
      <c r="S158" s="17"/>
      <c r="T158" s="17"/>
      <c r="U158" s="17"/>
    </row>
    <row r="159" spans="1:21" ht="24" customHeight="1" thickBot="1" x14ac:dyDescent="0.3">
      <c r="A159" s="6">
        <v>136</v>
      </c>
      <c r="B159" s="13" t="s">
        <v>171</v>
      </c>
      <c r="C159" s="15" t="s">
        <v>495</v>
      </c>
      <c r="D159" s="8" t="s">
        <v>205</v>
      </c>
      <c r="E159" s="9">
        <v>50</v>
      </c>
      <c r="F159" s="9">
        <v>20</v>
      </c>
      <c r="G159" s="9">
        <f>F159+E159</f>
        <v>70</v>
      </c>
      <c r="H159" s="9">
        <v>0</v>
      </c>
      <c r="I159" s="9">
        <f>H159+G159</f>
        <v>70</v>
      </c>
      <c r="J159" s="10" t="s">
        <v>359</v>
      </c>
      <c r="K159" s="10" t="s">
        <v>717</v>
      </c>
      <c r="L159" s="11" t="str">
        <f>IF(I159&gt;=50,"ناجح","راسب")</f>
        <v>ناجح</v>
      </c>
      <c r="M159" s="11" t="str">
        <f>IF(I159&gt;=90,"امتياز",IF(I159&gt;=80,"جيدجدا",IF(I159&gt;=70,"جيد",IF(I159&gt;=60,"متوسط ",IF(I159&gt;=50,"مقبول","ضعيف")))))</f>
        <v>جيد</v>
      </c>
      <c r="N159" s="7">
        <v>5</v>
      </c>
      <c r="O159" s="7" t="s">
        <v>6</v>
      </c>
      <c r="P159" s="7">
        <v>36</v>
      </c>
      <c r="Q159" s="7">
        <v>59</v>
      </c>
      <c r="R159" s="17">
        <v>61.02</v>
      </c>
      <c r="S159" s="17"/>
      <c r="T159" s="17"/>
      <c r="U159" s="17"/>
    </row>
    <row r="160" spans="1:21" ht="24" customHeight="1" thickBot="1" x14ac:dyDescent="0.3">
      <c r="A160" s="6">
        <v>135</v>
      </c>
      <c r="B160" s="13" t="s">
        <v>170</v>
      </c>
      <c r="C160" s="15" t="s">
        <v>494</v>
      </c>
      <c r="D160" s="8" t="s">
        <v>205</v>
      </c>
      <c r="E160" s="9">
        <v>55</v>
      </c>
      <c r="F160" s="9">
        <v>12</v>
      </c>
      <c r="G160" s="9">
        <f>F160+E160</f>
        <v>67</v>
      </c>
      <c r="H160" s="9">
        <v>0</v>
      </c>
      <c r="I160" s="9">
        <f>H160+G160</f>
        <v>67</v>
      </c>
      <c r="J160" s="10" t="s">
        <v>359</v>
      </c>
      <c r="K160" s="10" t="s">
        <v>717</v>
      </c>
      <c r="L160" s="11" t="str">
        <f>IF(I160&gt;=50,"ناجح","راسب")</f>
        <v>ناجح</v>
      </c>
      <c r="M160" s="11" t="str">
        <f>IF(I160&gt;=90,"امتياز",IF(I160&gt;=80,"جيدجدا",IF(I160&gt;=70,"جيد",IF(I160&gt;=60,"متوسط ",IF(I160&gt;=50,"مقبول","ضعيف")))))</f>
        <v xml:space="preserve">متوسط </v>
      </c>
      <c r="N160" s="7">
        <v>8</v>
      </c>
      <c r="O160" s="7" t="s">
        <v>6</v>
      </c>
      <c r="P160" s="7">
        <v>36</v>
      </c>
      <c r="Q160" s="7">
        <v>59</v>
      </c>
      <c r="R160" s="17">
        <v>61.02</v>
      </c>
      <c r="S160" s="17"/>
      <c r="T160" s="17"/>
      <c r="U160" s="17"/>
    </row>
    <row r="161" spans="1:21" ht="24" customHeight="1" thickBot="1" x14ac:dyDescent="0.3">
      <c r="A161" s="6">
        <v>134</v>
      </c>
      <c r="B161" s="13" t="s">
        <v>169</v>
      </c>
      <c r="C161" s="15" t="s">
        <v>493</v>
      </c>
      <c r="D161" s="8" t="s">
        <v>205</v>
      </c>
      <c r="E161" s="9">
        <v>52</v>
      </c>
      <c r="F161" s="9">
        <v>12</v>
      </c>
      <c r="G161" s="9">
        <f>F161+E161</f>
        <v>64</v>
      </c>
      <c r="H161" s="9">
        <v>0</v>
      </c>
      <c r="I161" s="9">
        <f>H161+G161</f>
        <v>64</v>
      </c>
      <c r="J161" s="10" t="s">
        <v>359</v>
      </c>
      <c r="K161" s="10" t="s">
        <v>717</v>
      </c>
      <c r="L161" s="11" t="str">
        <f>IF(I161&gt;=50,"ناجح","راسب")</f>
        <v>ناجح</v>
      </c>
      <c r="M161" s="11" t="str">
        <f>IF(I161&gt;=90,"امتياز",IF(I161&gt;=80,"جيدجدا",IF(I161&gt;=70,"جيد",IF(I161&gt;=60,"متوسط ",IF(I161&gt;=50,"مقبول","ضعيف")))))</f>
        <v xml:space="preserve">متوسط </v>
      </c>
      <c r="N161" s="7">
        <v>10</v>
      </c>
      <c r="O161" s="7" t="s">
        <v>6</v>
      </c>
      <c r="P161" s="7">
        <v>36</v>
      </c>
      <c r="Q161" s="7">
        <v>59</v>
      </c>
      <c r="R161" s="17">
        <v>61.02</v>
      </c>
      <c r="S161" s="17"/>
      <c r="T161" s="17"/>
      <c r="U161" s="17"/>
    </row>
    <row r="162" spans="1:21" ht="24" customHeight="1" thickBot="1" x14ac:dyDescent="0.3">
      <c r="A162" s="6">
        <v>133</v>
      </c>
      <c r="B162" s="13" t="s">
        <v>168</v>
      </c>
      <c r="C162" s="15" t="s">
        <v>492</v>
      </c>
      <c r="D162" s="8" t="s">
        <v>205</v>
      </c>
      <c r="E162" s="9">
        <v>53</v>
      </c>
      <c r="F162" s="9">
        <v>15</v>
      </c>
      <c r="G162" s="9">
        <f>F162+E162</f>
        <v>68</v>
      </c>
      <c r="H162" s="9">
        <v>0</v>
      </c>
      <c r="I162" s="9">
        <f>H162+G162</f>
        <v>68</v>
      </c>
      <c r="J162" s="10" t="s">
        <v>359</v>
      </c>
      <c r="K162" s="10" t="s">
        <v>717</v>
      </c>
      <c r="L162" s="11" t="str">
        <f>IF(I162&gt;=50,"ناجح","راسب")</f>
        <v>ناجح</v>
      </c>
      <c r="M162" s="11" t="str">
        <f>IF(I162&gt;=90,"امتياز",IF(I162&gt;=80,"جيدجدا",IF(I162&gt;=70,"جيد",IF(I162&gt;=60,"متوسط ",IF(I162&gt;=50,"مقبول","ضعيف")))))</f>
        <v xml:space="preserve">متوسط </v>
      </c>
      <c r="N162" s="7">
        <v>7</v>
      </c>
      <c r="O162" s="7" t="s">
        <v>6</v>
      </c>
      <c r="P162" s="7">
        <v>36</v>
      </c>
      <c r="Q162" s="7">
        <v>59</v>
      </c>
      <c r="R162" s="17">
        <v>61.02</v>
      </c>
      <c r="S162" s="17"/>
      <c r="T162" s="17"/>
      <c r="U162" s="17"/>
    </row>
    <row r="163" spans="1:21" ht="24" customHeight="1" thickBot="1" x14ac:dyDescent="0.3">
      <c r="A163" s="6">
        <v>132</v>
      </c>
      <c r="B163" s="13" t="s">
        <v>167</v>
      </c>
      <c r="C163" s="15" t="s">
        <v>491</v>
      </c>
      <c r="D163" s="8" t="s">
        <v>205</v>
      </c>
      <c r="E163" s="9">
        <v>36</v>
      </c>
      <c r="F163" s="9">
        <v>8</v>
      </c>
      <c r="G163" s="9">
        <f>F163+E163</f>
        <v>44</v>
      </c>
      <c r="H163" s="9">
        <v>0</v>
      </c>
      <c r="I163" s="9">
        <f>H163+G163</f>
        <v>44</v>
      </c>
      <c r="J163" s="10" t="s">
        <v>359</v>
      </c>
      <c r="K163" s="10" t="s">
        <v>717</v>
      </c>
      <c r="L163" s="11" t="str">
        <f>IF(I163&gt;=50,"ناجح","راسب")</f>
        <v>راسب</v>
      </c>
      <c r="M163" s="11" t="str">
        <f>IF(I163&gt;=90,"امتياز",IF(I163&gt;=80,"جيدجدا",IF(I163&gt;=70,"جيد",IF(I163&gt;=60,"متوسط ",IF(I163&gt;=50,"مقبول","ضعيف")))))</f>
        <v>ضعيف</v>
      </c>
      <c r="N163" s="7"/>
      <c r="O163" s="7"/>
      <c r="P163" s="7">
        <v>36</v>
      </c>
      <c r="Q163" s="7">
        <v>59</v>
      </c>
      <c r="R163" s="17">
        <v>61.02</v>
      </c>
      <c r="S163" s="17"/>
      <c r="T163" s="17"/>
      <c r="U163" s="17"/>
    </row>
    <row r="164" spans="1:21" ht="24" customHeight="1" thickBot="1" x14ac:dyDescent="0.3">
      <c r="A164" s="6">
        <v>131</v>
      </c>
      <c r="B164" s="13" t="s">
        <v>237</v>
      </c>
      <c r="C164" s="15" t="s">
        <v>490</v>
      </c>
      <c r="D164" s="8" t="s">
        <v>205</v>
      </c>
      <c r="E164" s="9">
        <v>0</v>
      </c>
      <c r="F164" s="9">
        <v>0</v>
      </c>
      <c r="G164" s="9">
        <f>F164+E164</f>
        <v>0</v>
      </c>
      <c r="H164" s="9">
        <v>0</v>
      </c>
      <c r="I164" s="9">
        <f>H164+G164</f>
        <v>0</v>
      </c>
      <c r="J164" s="10" t="s">
        <v>359</v>
      </c>
      <c r="K164" s="10" t="s">
        <v>717</v>
      </c>
      <c r="L164" s="11" t="str">
        <f>IF(I164&gt;=50,"ناجح","راسب")</f>
        <v>راسب</v>
      </c>
      <c r="M164" s="11" t="str">
        <f>IF(I164&gt;=90,"امتياز",IF(I164&gt;=80,"جيدجدا",IF(I164&gt;=70,"جيد",IF(I164&gt;=60,"متوسط ",IF(I164&gt;=50,"مقبول","ضعيف")))))</f>
        <v>ضعيف</v>
      </c>
      <c r="N164" s="7"/>
      <c r="O164" s="7"/>
      <c r="P164" s="7">
        <v>36</v>
      </c>
      <c r="Q164" s="7">
        <v>59</v>
      </c>
      <c r="R164" s="17">
        <v>61.02</v>
      </c>
      <c r="S164" s="17"/>
      <c r="T164" s="17"/>
      <c r="U164" s="17"/>
    </row>
    <row r="165" spans="1:21" ht="24" customHeight="1" thickBot="1" x14ac:dyDescent="0.3">
      <c r="A165" s="6">
        <v>130</v>
      </c>
      <c r="B165" s="13" t="s">
        <v>166</v>
      </c>
      <c r="C165" s="15" t="s">
        <v>489</v>
      </c>
      <c r="D165" s="8" t="s">
        <v>205</v>
      </c>
      <c r="E165" s="9">
        <v>0</v>
      </c>
      <c r="F165" s="9">
        <v>0</v>
      </c>
      <c r="G165" s="9">
        <f>F165+E165</f>
        <v>0</v>
      </c>
      <c r="H165" s="9">
        <v>0</v>
      </c>
      <c r="I165" s="9">
        <f>H165+G165</f>
        <v>0</v>
      </c>
      <c r="J165" s="10" t="s">
        <v>359</v>
      </c>
      <c r="K165" s="10" t="s">
        <v>717</v>
      </c>
      <c r="L165" s="11" t="str">
        <f>IF(I165&gt;=50,"ناجح","راسب")</f>
        <v>راسب</v>
      </c>
      <c r="M165" s="11" t="str">
        <f>IF(I165&gt;=90,"امتياز",IF(I165&gt;=80,"جيدجدا",IF(I165&gt;=70,"جيد",IF(I165&gt;=60,"متوسط ",IF(I165&gt;=50,"مقبول","ضعيف")))))</f>
        <v>ضعيف</v>
      </c>
      <c r="N165" s="7"/>
      <c r="O165" s="7"/>
      <c r="P165" s="7">
        <v>36</v>
      </c>
      <c r="Q165" s="7">
        <v>59</v>
      </c>
      <c r="R165" s="17">
        <v>61.02</v>
      </c>
      <c r="S165" s="17"/>
      <c r="T165" s="17"/>
      <c r="U165" s="17"/>
    </row>
    <row r="166" spans="1:21" ht="24" customHeight="1" thickBot="1" x14ac:dyDescent="0.3">
      <c r="A166" s="6">
        <v>129</v>
      </c>
      <c r="B166" s="13" t="s">
        <v>165</v>
      </c>
      <c r="C166" s="15" t="s">
        <v>488</v>
      </c>
      <c r="D166" s="8" t="s">
        <v>205</v>
      </c>
      <c r="E166" s="9">
        <v>57</v>
      </c>
      <c r="F166" s="9">
        <v>7</v>
      </c>
      <c r="G166" s="9">
        <f>F166+E166</f>
        <v>64</v>
      </c>
      <c r="H166" s="9">
        <v>0</v>
      </c>
      <c r="I166" s="9">
        <f>H166+G166</f>
        <v>64</v>
      </c>
      <c r="J166" s="10" t="s">
        <v>359</v>
      </c>
      <c r="K166" s="10" t="s">
        <v>717</v>
      </c>
      <c r="L166" s="11" t="str">
        <f>IF(I166&gt;=50,"ناجح","راسب")</f>
        <v>ناجح</v>
      </c>
      <c r="M166" s="11" t="str">
        <f>IF(I166&gt;=90,"امتياز",IF(I166&gt;=80,"جيدجدا",IF(I166&gt;=70,"جيد",IF(I166&gt;=60,"متوسط ",IF(I166&gt;=50,"مقبول","ضعيف")))))</f>
        <v xml:space="preserve">متوسط </v>
      </c>
      <c r="N166" s="7">
        <v>10</v>
      </c>
      <c r="O166" s="7" t="s">
        <v>6</v>
      </c>
      <c r="P166" s="7">
        <v>36</v>
      </c>
      <c r="Q166" s="7">
        <v>59</v>
      </c>
      <c r="R166" s="17">
        <v>61.02</v>
      </c>
      <c r="S166" s="17"/>
      <c r="T166" s="17"/>
      <c r="U166" s="17"/>
    </row>
    <row r="167" spans="1:21" ht="24" customHeight="1" thickBot="1" x14ac:dyDescent="0.3">
      <c r="A167" s="6">
        <v>128</v>
      </c>
      <c r="B167" s="13" t="s">
        <v>164</v>
      </c>
      <c r="C167" s="15" t="s">
        <v>487</v>
      </c>
      <c r="D167" s="8" t="s">
        <v>205</v>
      </c>
      <c r="E167" s="9">
        <v>50</v>
      </c>
      <c r="F167" s="9">
        <v>0</v>
      </c>
      <c r="G167" s="9">
        <f>F167+E167</f>
        <v>50</v>
      </c>
      <c r="H167" s="9">
        <v>0</v>
      </c>
      <c r="I167" s="9">
        <f>H167+G167</f>
        <v>50</v>
      </c>
      <c r="J167" s="10" t="s">
        <v>359</v>
      </c>
      <c r="K167" s="10" t="s">
        <v>717</v>
      </c>
      <c r="L167" s="11" t="str">
        <f>IF(I167&gt;=50,"ناجح","راسب")</f>
        <v>ناجح</v>
      </c>
      <c r="M167" s="11" t="str">
        <f>IF(I167&gt;=90,"امتياز",IF(I167&gt;=80,"جيدجدا",IF(I167&gt;=70,"جيد",IF(I167&gt;=60,"متوسط ",IF(I167&gt;=50,"مقبول","ضعيف")))))</f>
        <v>مقبول</v>
      </c>
      <c r="N167" s="7">
        <v>20</v>
      </c>
      <c r="O167" s="7" t="s">
        <v>6</v>
      </c>
      <c r="P167" s="7">
        <v>36</v>
      </c>
      <c r="Q167" s="7">
        <v>59</v>
      </c>
      <c r="R167" s="17">
        <v>61.02</v>
      </c>
      <c r="S167" s="17"/>
      <c r="T167" s="17"/>
      <c r="U167" s="17"/>
    </row>
    <row r="168" spans="1:21" ht="24" customHeight="1" thickBot="1" x14ac:dyDescent="0.3">
      <c r="A168" s="6">
        <v>127</v>
      </c>
      <c r="B168" s="13" t="s">
        <v>163</v>
      </c>
      <c r="C168" s="15" t="s">
        <v>486</v>
      </c>
      <c r="D168" s="8" t="s">
        <v>205</v>
      </c>
      <c r="E168" s="9">
        <v>46</v>
      </c>
      <c r="F168" s="9">
        <v>15</v>
      </c>
      <c r="G168" s="9">
        <f>F168+E168</f>
        <v>61</v>
      </c>
      <c r="H168" s="9">
        <v>0</v>
      </c>
      <c r="I168" s="9">
        <f>H168+G168</f>
        <v>61</v>
      </c>
      <c r="J168" s="10" t="s">
        <v>359</v>
      </c>
      <c r="K168" s="10" t="s">
        <v>717</v>
      </c>
      <c r="L168" s="11" t="str">
        <f>IF(I168&gt;=50,"ناجح","راسب")</f>
        <v>ناجح</v>
      </c>
      <c r="M168" s="11" t="str">
        <f>IF(I168&gt;=90,"امتياز",IF(I168&gt;=80,"جيدجدا",IF(I168&gt;=70,"جيد",IF(I168&gt;=60,"متوسط ",IF(I168&gt;=50,"مقبول","ضعيف")))))</f>
        <v xml:space="preserve">متوسط </v>
      </c>
      <c r="N168" s="7">
        <v>13</v>
      </c>
      <c r="O168" s="7" t="s">
        <v>6</v>
      </c>
      <c r="P168" s="7">
        <v>36</v>
      </c>
      <c r="Q168" s="7">
        <v>59</v>
      </c>
      <c r="R168" s="17">
        <v>61.02</v>
      </c>
      <c r="S168" s="17"/>
      <c r="T168" s="17"/>
      <c r="U168" s="17"/>
    </row>
    <row r="169" spans="1:21" ht="24" customHeight="1" thickBot="1" x14ac:dyDescent="0.3">
      <c r="A169" s="6">
        <v>126</v>
      </c>
      <c r="B169" s="13" t="s">
        <v>162</v>
      </c>
      <c r="C169" s="15" t="s">
        <v>485</v>
      </c>
      <c r="D169" s="8" t="s">
        <v>205</v>
      </c>
      <c r="E169" s="9">
        <v>36</v>
      </c>
      <c r="F169" s="9">
        <v>20</v>
      </c>
      <c r="G169" s="9">
        <f>F169+E169</f>
        <v>56</v>
      </c>
      <c r="H169" s="9">
        <v>0</v>
      </c>
      <c r="I169" s="9">
        <f>H169+G169</f>
        <v>56</v>
      </c>
      <c r="J169" s="10" t="s">
        <v>359</v>
      </c>
      <c r="K169" s="10" t="s">
        <v>717</v>
      </c>
      <c r="L169" s="11" t="str">
        <f>IF(I169&gt;=50,"ناجح","راسب")</f>
        <v>ناجح</v>
      </c>
      <c r="M169" s="11" t="str">
        <f>IF(I169&gt;=90,"امتياز",IF(I169&gt;=80,"جيدجدا",IF(I169&gt;=70,"جيد",IF(I169&gt;=60,"متوسط ",IF(I169&gt;=50,"مقبول","ضعيف")))))</f>
        <v>مقبول</v>
      </c>
      <c r="N169" s="7">
        <v>17</v>
      </c>
      <c r="O169" s="7" t="s">
        <v>6</v>
      </c>
      <c r="P169" s="7">
        <v>36</v>
      </c>
      <c r="Q169" s="7">
        <v>59</v>
      </c>
      <c r="R169" s="17">
        <v>61.02</v>
      </c>
      <c r="S169" s="17"/>
      <c r="T169" s="17"/>
      <c r="U169" s="17"/>
    </row>
    <row r="170" spans="1:21" ht="24" customHeight="1" thickBot="1" x14ac:dyDescent="0.3">
      <c r="A170" s="6">
        <v>125</v>
      </c>
      <c r="B170" s="13" t="s">
        <v>161</v>
      </c>
      <c r="C170" s="15" t="s">
        <v>484</v>
      </c>
      <c r="D170" s="8" t="s">
        <v>205</v>
      </c>
      <c r="E170" s="9">
        <v>43</v>
      </c>
      <c r="F170" s="9">
        <v>8</v>
      </c>
      <c r="G170" s="9">
        <f>F170+E170</f>
        <v>51</v>
      </c>
      <c r="H170" s="9">
        <v>0</v>
      </c>
      <c r="I170" s="9">
        <f>H170+G170</f>
        <v>51</v>
      </c>
      <c r="J170" s="10" t="s">
        <v>359</v>
      </c>
      <c r="K170" s="10" t="s">
        <v>717</v>
      </c>
      <c r="L170" s="11" t="str">
        <f>IF(I170&gt;=50,"ناجح","راسب")</f>
        <v>ناجح</v>
      </c>
      <c r="M170" s="11" t="str">
        <f>IF(I170&gt;=90,"امتياز",IF(I170&gt;=80,"جيدجدا",IF(I170&gt;=70,"جيد",IF(I170&gt;=60,"متوسط ",IF(I170&gt;=50,"مقبول","ضعيف")))))</f>
        <v>مقبول</v>
      </c>
      <c r="N170" s="7">
        <v>19</v>
      </c>
      <c r="O170" s="7" t="s">
        <v>6</v>
      </c>
      <c r="P170" s="7">
        <v>36</v>
      </c>
      <c r="Q170" s="7">
        <v>59</v>
      </c>
      <c r="R170" s="17">
        <v>61.02</v>
      </c>
      <c r="S170" s="17"/>
      <c r="T170" s="17"/>
      <c r="U170" s="17"/>
    </row>
    <row r="171" spans="1:21" ht="24" customHeight="1" thickBot="1" x14ac:dyDescent="0.3">
      <c r="A171" s="6">
        <v>124</v>
      </c>
      <c r="B171" s="13" t="s">
        <v>160</v>
      </c>
      <c r="C171" s="15" t="s">
        <v>483</v>
      </c>
      <c r="D171" s="8" t="s">
        <v>205</v>
      </c>
      <c r="E171" s="9">
        <v>43</v>
      </c>
      <c r="F171" s="9">
        <v>20</v>
      </c>
      <c r="G171" s="9">
        <f>F171+E171</f>
        <v>63</v>
      </c>
      <c r="H171" s="9">
        <v>0</v>
      </c>
      <c r="I171" s="9">
        <f>H171+G171</f>
        <v>63</v>
      </c>
      <c r="J171" s="10" t="s">
        <v>359</v>
      </c>
      <c r="K171" s="10" t="s">
        <v>717</v>
      </c>
      <c r="L171" s="11" t="str">
        <f>IF(I171&gt;=50,"ناجح","راسب")</f>
        <v>ناجح</v>
      </c>
      <c r="M171" s="11" t="str">
        <f>IF(I171&gt;=90,"امتياز",IF(I171&gt;=80,"جيدجدا",IF(I171&gt;=70,"جيد",IF(I171&gt;=60,"متوسط ",IF(I171&gt;=50,"مقبول","ضعيف")))))</f>
        <v xml:space="preserve">متوسط </v>
      </c>
      <c r="N171" s="7">
        <v>11</v>
      </c>
      <c r="O171" s="7" t="s">
        <v>6</v>
      </c>
      <c r="P171" s="7">
        <v>36</v>
      </c>
      <c r="Q171" s="7">
        <v>59</v>
      </c>
      <c r="R171" s="17">
        <v>61.02</v>
      </c>
      <c r="S171" s="17"/>
      <c r="T171" s="17"/>
      <c r="U171" s="17"/>
    </row>
    <row r="172" spans="1:21" ht="24" customHeight="1" thickBot="1" x14ac:dyDescent="0.3">
      <c r="A172" s="6">
        <v>123</v>
      </c>
      <c r="B172" s="13" t="s">
        <v>298</v>
      </c>
      <c r="C172" s="15" t="s">
        <v>482</v>
      </c>
      <c r="D172" s="8" t="s">
        <v>205</v>
      </c>
      <c r="E172" s="9">
        <v>0</v>
      </c>
      <c r="F172" s="9">
        <v>0</v>
      </c>
      <c r="G172" s="9">
        <f>F172+E172</f>
        <v>0</v>
      </c>
      <c r="H172" s="9">
        <v>0</v>
      </c>
      <c r="I172" s="9">
        <f>H172+G172</f>
        <v>0</v>
      </c>
      <c r="J172" s="10" t="s">
        <v>359</v>
      </c>
      <c r="K172" s="10" t="s">
        <v>717</v>
      </c>
      <c r="L172" s="11" t="str">
        <f>IF(I172&gt;=50,"ناجح","راسب")</f>
        <v>راسب</v>
      </c>
      <c r="M172" s="11" t="str">
        <f>IF(I172&gt;=90,"امتياز",IF(I172&gt;=80,"جيدجدا",IF(I172&gt;=70,"جيد",IF(I172&gt;=60,"متوسط ",IF(I172&gt;=50,"مقبول","ضعيف")))))</f>
        <v>ضعيف</v>
      </c>
      <c r="N172" s="7"/>
      <c r="O172" s="7"/>
      <c r="P172" s="7">
        <v>36</v>
      </c>
      <c r="Q172" s="7">
        <v>59</v>
      </c>
      <c r="R172" s="17">
        <v>61.02</v>
      </c>
      <c r="S172" s="17"/>
      <c r="T172" s="17"/>
      <c r="U172" s="17"/>
    </row>
    <row r="173" spans="1:21" ht="24" customHeight="1" thickBot="1" x14ac:dyDescent="0.3">
      <c r="A173" s="6">
        <v>122</v>
      </c>
      <c r="B173" s="13" t="s">
        <v>159</v>
      </c>
      <c r="C173" s="15" t="s">
        <v>481</v>
      </c>
      <c r="D173" s="8" t="s">
        <v>205</v>
      </c>
      <c r="E173" s="9">
        <v>48</v>
      </c>
      <c r="F173" s="9">
        <v>20</v>
      </c>
      <c r="G173" s="9">
        <f>F173+E173</f>
        <v>68</v>
      </c>
      <c r="H173" s="9">
        <v>0</v>
      </c>
      <c r="I173" s="9">
        <f>H173+G173</f>
        <v>68</v>
      </c>
      <c r="J173" s="10" t="s">
        <v>359</v>
      </c>
      <c r="K173" s="10" t="s">
        <v>717</v>
      </c>
      <c r="L173" s="11" t="str">
        <f>IF(I173&gt;=50,"ناجح","راسب")</f>
        <v>ناجح</v>
      </c>
      <c r="M173" s="11" t="str">
        <f>IF(I173&gt;=90,"امتياز",IF(I173&gt;=80,"جيدجدا",IF(I173&gt;=70,"جيد",IF(I173&gt;=60,"متوسط ",IF(I173&gt;=50,"مقبول","ضعيف")))))</f>
        <v xml:space="preserve">متوسط </v>
      </c>
      <c r="N173" s="7">
        <v>7</v>
      </c>
      <c r="O173" s="7" t="s">
        <v>6</v>
      </c>
      <c r="P173" s="7">
        <v>36</v>
      </c>
      <c r="Q173" s="7">
        <v>59</v>
      </c>
      <c r="R173" s="17">
        <v>61.02</v>
      </c>
      <c r="S173" s="17"/>
      <c r="T173" s="17"/>
      <c r="U173" s="17"/>
    </row>
    <row r="174" spans="1:21" ht="24" customHeight="1" thickBot="1" x14ac:dyDescent="0.3">
      <c r="A174" s="6">
        <v>121</v>
      </c>
      <c r="B174" s="13" t="s">
        <v>158</v>
      </c>
      <c r="C174" s="15" t="s">
        <v>480</v>
      </c>
      <c r="D174" s="8" t="s">
        <v>205</v>
      </c>
      <c r="E174" s="9">
        <v>60</v>
      </c>
      <c r="F174" s="9">
        <v>8</v>
      </c>
      <c r="G174" s="9">
        <f>F174+E174</f>
        <v>68</v>
      </c>
      <c r="H174" s="9">
        <v>0</v>
      </c>
      <c r="I174" s="9">
        <f>H174+G174</f>
        <v>68</v>
      </c>
      <c r="J174" s="10" t="s">
        <v>359</v>
      </c>
      <c r="K174" s="10" t="s">
        <v>717</v>
      </c>
      <c r="L174" s="11" t="str">
        <f>IF(I174&gt;=50,"ناجح","راسب")</f>
        <v>ناجح</v>
      </c>
      <c r="M174" s="11" t="str">
        <f>IF(I174&gt;=90,"امتياز",IF(I174&gt;=80,"جيدجدا",IF(I174&gt;=70,"جيد",IF(I174&gt;=60,"متوسط ",IF(I174&gt;=50,"مقبول","ضعيف")))))</f>
        <v xml:space="preserve">متوسط </v>
      </c>
      <c r="N174" s="7">
        <v>7</v>
      </c>
      <c r="O174" s="7" t="s">
        <v>6</v>
      </c>
      <c r="P174" s="7">
        <v>36</v>
      </c>
      <c r="Q174" s="7">
        <v>59</v>
      </c>
      <c r="R174" s="17">
        <v>61.02</v>
      </c>
      <c r="S174" s="17"/>
      <c r="T174" s="17"/>
      <c r="U174" s="17"/>
    </row>
    <row r="175" spans="1:21" ht="24" customHeight="1" thickBot="1" x14ac:dyDescent="0.3">
      <c r="A175" s="6">
        <v>120</v>
      </c>
      <c r="B175" s="13" t="s">
        <v>157</v>
      </c>
      <c r="C175" s="15" t="s">
        <v>479</v>
      </c>
      <c r="D175" s="8" t="s">
        <v>205</v>
      </c>
      <c r="E175" s="9">
        <v>41</v>
      </c>
      <c r="F175" s="9">
        <v>0</v>
      </c>
      <c r="G175" s="9">
        <f>F175+E175</f>
        <v>41</v>
      </c>
      <c r="H175" s="9">
        <v>0</v>
      </c>
      <c r="I175" s="9">
        <f>H175+G175</f>
        <v>41</v>
      </c>
      <c r="J175" s="10" t="s">
        <v>359</v>
      </c>
      <c r="K175" s="10" t="s">
        <v>717</v>
      </c>
      <c r="L175" s="11" t="str">
        <f>IF(I175&gt;=50,"ناجح","راسب")</f>
        <v>راسب</v>
      </c>
      <c r="M175" s="11" t="str">
        <f>IF(I175&gt;=90,"امتياز",IF(I175&gt;=80,"جيدجدا",IF(I175&gt;=70,"جيد",IF(I175&gt;=60,"متوسط ",IF(I175&gt;=50,"مقبول","ضعيف")))))</f>
        <v>ضعيف</v>
      </c>
      <c r="N175" s="7"/>
      <c r="O175" s="7"/>
      <c r="P175" s="7">
        <v>36</v>
      </c>
      <c r="Q175" s="7">
        <v>59</v>
      </c>
      <c r="R175" s="17">
        <v>61.02</v>
      </c>
      <c r="S175" s="17"/>
      <c r="T175" s="17"/>
      <c r="U175" s="17"/>
    </row>
    <row r="176" spans="1:21" ht="24" customHeight="1" thickBot="1" x14ac:dyDescent="0.3">
      <c r="A176" s="6">
        <v>119</v>
      </c>
      <c r="B176" s="13" t="s">
        <v>156</v>
      </c>
      <c r="C176" s="15" t="s">
        <v>478</v>
      </c>
      <c r="D176" s="8" t="s">
        <v>205</v>
      </c>
      <c r="E176" s="9">
        <v>60</v>
      </c>
      <c r="F176" s="9">
        <v>12</v>
      </c>
      <c r="G176" s="9">
        <f>F176+E176</f>
        <v>72</v>
      </c>
      <c r="H176" s="9">
        <v>0</v>
      </c>
      <c r="I176" s="9">
        <f>H176+G176</f>
        <v>72</v>
      </c>
      <c r="J176" s="10" t="s">
        <v>359</v>
      </c>
      <c r="K176" s="10" t="s">
        <v>717</v>
      </c>
      <c r="L176" s="11" t="str">
        <f>IF(I176&gt;=50,"ناجح","راسب")</f>
        <v>ناجح</v>
      </c>
      <c r="M176" s="11" t="str">
        <f>IF(I176&gt;=90,"امتياز",IF(I176&gt;=80,"جيدجدا",IF(I176&gt;=70,"جيد",IF(I176&gt;=60,"متوسط ",IF(I176&gt;=50,"مقبول","ضعيف")))))</f>
        <v>جيد</v>
      </c>
      <c r="N176" s="7">
        <v>3</v>
      </c>
      <c r="O176" s="7" t="s">
        <v>6</v>
      </c>
      <c r="P176" s="7">
        <v>36</v>
      </c>
      <c r="Q176" s="7">
        <v>59</v>
      </c>
      <c r="R176" s="17">
        <v>61.02</v>
      </c>
      <c r="S176" s="17"/>
      <c r="T176" s="17"/>
      <c r="U176" s="17"/>
    </row>
    <row r="177" spans="1:21" ht="24" customHeight="1" thickBot="1" x14ac:dyDescent="0.3">
      <c r="A177" s="6">
        <v>118</v>
      </c>
      <c r="B177" s="13" t="s">
        <v>155</v>
      </c>
      <c r="C177" s="15" t="s">
        <v>477</v>
      </c>
      <c r="D177" s="8" t="s">
        <v>205</v>
      </c>
      <c r="E177" s="9">
        <v>55</v>
      </c>
      <c r="F177" s="9">
        <v>13</v>
      </c>
      <c r="G177" s="9">
        <f>F177+E177</f>
        <v>68</v>
      </c>
      <c r="H177" s="9">
        <v>0</v>
      </c>
      <c r="I177" s="9">
        <f>H177+G177</f>
        <v>68</v>
      </c>
      <c r="J177" s="10" t="s">
        <v>359</v>
      </c>
      <c r="K177" s="10" t="s">
        <v>717</v>
      </c>
      <c r="L177" s="11" t="str">
        <f>IF(I177&gt;=50,"ناجح","راسب")</f>
        <v>ناجح</v>
      </c>
      <c r="M177" s="11" t="str">
        <f>IF(I177&gt;=90,"امتياز",IF(I177&gt;=80,"جيدجدا",IF(I177&gt;=70,"جيد",IF(I177&gt;=60,"متوسط ",IF(I177&gt;=50,"مقبول","ضعيف")))))</f>
        <v xml:space="preserve">متوسط </v>
      </c>
      <c r="N177" s="7">
        <v>7</v>
      </c>
      <c r="O177" s="7" t="s">
        <v>6</v>
      </c>
      <c r="P177" s="7">
        <v>36</v>
      </c>
      <c r="Q177" s="7">
        <v>59</v>
      </c>
      <c r="R177" s="17">
        <v>61.02</v>
      </c>
      <c r="S177" s="17"/>
      <c r="T177" s="17"/>
      <c r="U177" s="17"/>
    </row>
    <row r="178" spans="1:21" ht="24" customHeight="1" thickBot="1" x14ac:dyDescent="0.3">
      <c r="A178" s="6">
        <v>177</v>
      </c>
      <c r="B178" s="13" t="s">
        <v>11</v>
      </c>
      <c r="C178" s="15" t="s">
        <v>533</v>
      </c>
      <c r="D178" s="8" t="s">
        <v>67</v>
      </c>
      <c r="E178" s="9">
        <v>60</v>
      </c>
      <c r="F178" s="9">
        <v>8</v>
      </c>
      <c r="G178" s="9">
        <f>F178+E178</f>
        <v>68</v>
      </c>
      <c r="H178" s="9">
        <v>0</v>
      </c>
      <c r="I178" s="9">
        <f>H178+G178</f>
        <v>68</v>
      </c>
      <c r="J178" s="10" t="s">
        <v>359</v>
      </c>
      <c r="K178" s="10" t="s">
        <v>717</v>
      </c>
      <c r="L178" s="11" t="str">
        <f>IF(I178&gt;=50,"ناجح","راسب")</f>
        <v>ناجح</v>
      </c>
      <c r="M178" s="11" t="str">
        <f>IF(I178&gt;=90,"امتياز",IF(I178&gt;=80,"جيدجدا",IF(I178&gt;=70,"جيد",IF(I178&gt;=60,"متوسط ",IF(I178&gt;=50,"مقبول","ضعيف")))))</f>
        <v xml:space="preserve">متوسط </v>
      </c>
      <c r="N178" s="7">
        <v>11</v>
      </c>
      <c r="O178" s="7" t="s">
        <v>6</v>
      </c>
      <c r="P178" s="7">
        <v>39</v>
      </c>
      <c r="Q178" s="7">
        <v>57</v>
      </c>
      <c r="R178" s="16">
        <v>68.421000000000006</v>
      </c>
      <c r="S178" s="17"/>
      <c r="T178" s="17"/>
      <c r="U178" s="17"/>
    </row>
    <row r="179" spans="1:21" ht="24" customHeight="1" thickBot="1" x14ac:dyDescent="0.3">
      <c r="A179" s="6">
        <v>178</v>
      </c>
      <c r="B179" s="13" t="s">
        <v>12</v>
      </c>
      <c r="C179" s="15" t="s">
        <v>534</v>
      </c>
      <c r="D179" s="8" t="s">
        <v>67</v>
      </c>
      <c r="E179" s="9">
        <v>34</v>
      </c>
      <c r="F179" s="9">
        <v>2</v>
      </c>
      <c r="G179" s="9">
        <f>F179+E179</f>
        <v>36</v>
      </c>
      <c r="H179" s="9">
        <v>0</v>
      </c>
      <c r="I179" s="9">
        <f>H179+G179</f>
        <v>36</v>
      </c>
      <c r="J179" s="10" t="s">
        <v>359</v>
      </c>
      <c r="K179" s="10" t="s">
        <v>717</v>
      </c>
      <c r="L179" s="11" t="str">
        <f>IF(I179&gt;=50,"ناجح","راسب")</f>
        <v>راسب</v>
      </c>
      <c r="M179" s="11" t="str">
        <f>IF(I179&gt;=90,"امتياز",IF(I179&gt;=80,"جيدجدا",IF(I179&gt;=70,"جيد",IF(I179&gt;=60,"متوسط ",IF(I179&gt;=50,"مقبول","ضعيف")))))</f>
        <v>ضعيف</v>
      </c>
      <c r="N179" s="7"/>
      <c r="O179" s="7"/>
      <c r="P179" s="7">
        <v>39</v>
      </c>
      <c r="Q179" s="7">
        <v>57</v>
      </c>
      <c r="R179" s="16">
        <v>68.421000000000006</v>
      </c>
      <c r="S179" s="17"/>
      <c r="T179" s="17"/>
      <c r="U179" s="17"/>
    </row>
    <row r="180" spans="1:21" ht="24" customHeight="1" thickBot="1" x14ac:dyDescent="0.3">
      <c r="A180" s="6">
        <v>179</v>
      </c>
      <c r="B180" s="13" t="s">
        <v>13</v>
      </c>
      <c r="C180" s="15" t="s">
        <v>535</v>
      </c>
      <c r="D180" s="8" t="s">
        <v>67</v>
      </c>
      <c r="E180" s="9">
        <v>0</v>
      </c>
      <c r="F180" s="9">
        <v>0</v>
      </c>
      <c r="G180" s="9">
        <f>F180+E180</f>
        <v>0</v>
      </c>
      <c r="H180" s="9">
        <v>0</v>
      </c>
      <c r="I180" s="9">
        <f>H180+G180</f>
        <v>0</v>
      </c>
      <c r="J180" s="10" t="s">
        <v>359</v>
      </c>
      <c r="K180" s="10" t="s">
        <v>717</v>
      </c>
      <c r="L180" s="11" t="str">
        <f>IF(I180&gt;=50,"ناجح","راسب")</f>
        <v>راسب</v>
      </c>
      <c r="M180" s="11" t="str">
        <f>IF(I180&gt;=90,"امتياز",IF(I180&gt;=80,"جيدجدا",IF(I180&gt;=70,"جيد",IF(I180&gt;=60,"متوسط ",IF(I180&gt;=50,"مقبول","ضعيف")))))</f>
        <v>ضعيف</v>
      </c>
      <c r="N180" s="7"/>
      <c r="O180" s="7"/>
      <c r="P180" s="7">
        <v>39</v>
      </c>
      <c r="Q180" s="7">
        <v>57</v>
      </c>
      <c r="R180" s="16">
        <v>68.421000000000006</v>
      </c>
      <c r="S180" s="17"/>
      <c r="T180" s="17"/>
      <c r="U180" s="17"/>
    </row>
    <row r="181" spans="1:21" ht="24" customHeight="1" thickBot="1" x14ac:dyDescent="0.3">
      <c r="A181" s="6">
        <v>180</v>
      </c>
      <c r="B181" s="13" t="s">
        <v>14</v>
      </c>
      <c r="C181" s="15" t="s">
        <v>536</v>
      </c>
      <c r="D181" s="8" t="s">
        <v>67</v>
      </c>
      <c r="E181" s="9">
        <v>43</v>
      </c>
      <c r="F181" s="9">
        <v>15</v>
      </c>
      <c r="G181" s="9">
        <f>F181+E181</f>
        <v>58</v>
      </c>
      <c r="H181" s="9">
        <v>0</v>
      </c>
      <c r="I181" s="9">
        <f>H181+G181</f>
        <v>58</v>
      </c>
      <c r="J181" s="10" t="s">
        <v>359</v>
      </c>
      <c r="K181" s="10" t="s">
        <v>717</v>
      </c>
      <c r="L181" s="11" t="str">
        <f>IF(I181&gt;=50,"ناجح","راسب")</f>
        <v>ناجح</v>
      </c>
      <c r="M181" s="11" t="str">
        <f>IF(I181&gt;=90,"امتياز",IF(I181&gt;=80,"جيدجدا",IF(I181&gt;=70,"جيد",IF(I181&gt;=60,"متوسط ",IF(I181&gt;=50,"مقبول","ضعيف")))))</f>
        <v>مقبول</v>
      </c>
      <c r="N181" s="7">
        <v>19</v>
      </c>
      <c r="O181" s="7" t="s">
        <v>6</v>
      </c>
      <c r="P181" s="7">
        <v>39</v>
      </c>
      <c r="Q181" s="7">
        <v>57</v>
      </c>
      <c r="R181" s="16">
        <v>68.421000000000006</v>
      </c>
      <c r="S181" s="17"/>
      <c r="T181" s="17"/>
      <c r="U181" s="17"/>
    </row>
    <row r="182" spans="1:21" ht="24" customHeight="1" thickBot="1" x14ac:dyDescent="0.3">
      <c r="A182" s="6">
        <v>182</v>
      </c>
      <c r="B182" s="13" t="s">
        <v>714</v>
      </c>
      <c r="C182" s="15" t="s">
        <v>538</v>
      </c>
      <c r="D182" s="8" t="s">
        <v>67</v>
      </c>
      <c r="E182" s="9">
        <v>69</v>
      </c>
      <c r="F182" s="9">
        <v>8</v>
      </c>
      <c r="G182" s="9">
        <f>F182+E182</f>
        <v>77</v>
      </c>
      <c r="H182" s="9">
        <v>0</v>
      </c>
      <c r="I182" s="9">
        <f>H182+G182</f>
        <v>77</v>
      </c>
      <c r="J182" s="10" t="s">
        <v>359</v>
      </c>
      <c r="K182" s="10" t="s">
        <v>717</v>
      </c>
      <c r="L182" s="11" t="str">
        <f>IF(I182&gt;=50,"ناجح","راسب")</f>
        <v>ناجح</v>
      </c>
      <c r="M182" s="11" t="str">
        <f>IF(I182&gt;=90,"امتياز",IF(I182&gt;=80,"جيدجدا",IF(I182&gt;=70,"جيد",IF(I182&gt;=60,"متوسط ",IF(I182&gt;=50,"مقبول","ضعيف")))))</f>
        <v>جيد</v>
      </c>
      <c r="N182" s="7">
        <v>4</v>
      </c>
      <c r="O182" s="7" t="s">
        <v>6</v>
      </c>
      <c r="P182" s="7">
        <v>39</v>
      </c>
      <c r="Q182" s="7">
        <v>57</v>
      </c>
      <c r="R182" s="16">
        <v>68.421000000000006</v>
      </c>
      <c r="S182" s="17"/>
      <c r="T182" s="17"/>
      <c r="U182" s="17"/>
    </row>
    <row r="183" spans="1:21" ht="24" customHeight="1" thickBot="1" x14ac:dyDescent="0.3">
      <c r="A183" s="6">
        <v>181</v>
      </c>
      <c r="B183" s="13" t="s">
        <v>15</v>
      </c>
      <c r="C183" s="15" t="s">
        <v>537</v>
      </c>
      <c r="D183" s="8" t="s">
        <v>67</v>
      </c>
      <c r="E183" s="9">
        <v>64</v>
      </c>
      <c r="F183" s="9">
        <v>6</v>
      </c>
      <c r="G183" s="9">
        <f>F183+E183</f>
        <v>70</v>
      </c>
      <c r="H183" s="9">
        <v>0</v>
      </c>
      <c r="I183" s="9">
        <f>H183+G183</f>
        <v>70</v>
      </c>
      <c r="J183" s="10" t="s">
        <v>359</v>
      </c>
      <c r="K183" s="10" t="s">
        <v>717</v>
      </c>
      <c r="L183" s="11" t="str">
        <f>IF(I183&gt;=50,"ناجح","راسب")</f>
        <v>ناجح</v>
      </c>
      <c r="M183" s="11" t="str">
        <f>IF(I183&gt;=90,"امتياز",IF(I183&gt;=80,"جيدجدا",IF(I183&gt;=70,"جيد",IF(I183&gt;=60,"متوسط ",IF(I183&gt;=50,"مقبول","ضعيف")))))</f>
        <v>جيد</v>
      </c>
      <c r="N183" s="7">
        <v>10</v>
      </c>
      <c r="O183" s="7" t="s">
        <v>6</v>
      </c>
      <c r="P183" s="7">
        <v>39</v>
      </c>
      <c r="Q183" s="7">
        <v>57</v>
      </c>
      <c r="R183" s="16">
        <v>68.421000000000006</v>
      </c>
      <c r="S183" s="17"/>
      <c r="T183" s="17"/>
      <c r="U183" s="17"/>
    </row>
    <row r="184" spans="1:21" ht="24" customHeight="1" thickBot="1" x14ac:dyDescent="0.3">
      <c r="A184" s="6">
        <v>183</v>
      </c>
      <c r="B184" s="13" t="s">
        <v>16</v>
      </c>
      <c r="C184" s="15" t="s">
        <v>539</v>
      </c>
      <c r="D184" s="8" t="s">
        <v>67</v>
      </c>
      <c r="E184" s="9">
        <v>52</v>
      </c>
      <c r="F184" s="9">
        <v>8</v>
      </c>
      <c r="G184" s="9">
        <f>F184+E184</f>
        <v>60</v>
      </c>
      <c r="H184" s="9">
        <v>0</v>
      </c>
      <c r="I184" s="9">
        <f>H184+G184</f>
        <v>60</v>
      </c>
      <c r="J184" s="10" t="s">
        <v>359</v>
      </c>
      <c r="K184" s="10" t="s">
        <v>717</v>
      </c>
      <c r="L184" s="11" t="str">
        <f>IF(I184&gt;=50,"ناجح","راسب")</f>
        <v>ناجح</v>
      </c>
      <c r="M184" s="11" t="str">
        <f>IF(I184&gt;=90,"امتياز",IF(I184&gt;=80,"جيدجدا",IF(I184&gt;=70,"جيد",IF(I184&gt;=60,"متوسط ",IF(I184&gt;=50,"مقبول","ضعيف")))))</f>
        <v xml:space="preserve">متوسط </v>
      </c>
      <c r="N184" s="7">
        <v>17</v>
      </c>
      <c r="O184" s="7" t="s">
        <v>6</v>
      </c>
      <c r="P184" s="7">
        <v>39</v>
      </c>
      <c r="Q184" s="7">
        <v>57</v>
      </c>
      <c r="R184" s="16">
        <v>68.421000000000006</v>
      </c>
      <c r="S184" s="17"/>
      <c r="T184" s="17"/>
      <c r="U184" s="17"/>
    </row>
    <row r="185" spans="1:21" ht="24" customHeight="1" thickBot="1" x14ac:dyDescent="0.3">
      <c r="A185" s="6">
        <v>184</v>
      </c>
      <c r="B185" s="13" t="s">
        <v>17</v>
      </c>
      <c r="C185" s="15" t="s">
        <v>540</v>
      </c>
      <c r="D185" s="8" t="s">
        <v>67</v>
      </c>
      <c r="E185" s="9">
        <v>44</v>
      </c>
      <c r="F185" s="9">
        <v>2</v>
      </c>
      <c r="G185" s="9">
        <f>F185+E185</f>
        <v>46</v>
      </c>
      <c r="H185" s="9">
        <v>0</v>
      </c>
      <c r="I185" s="9">
        <f>H185+G185</f>
        <v>46</v>
      </c>
      <c r="J185" s="10" t="s">
        <v>359</v>
      </c>
      <c r="K185" s="10" t="s">
        <v>717</v>
      </c>
      <c r="L185" s="11" t="str">
        <f>IF(I185&gt;=50,"ناجح","راسب")</f>
        <v>راسب</v>
      </c>
      <c r="M185" s="11" t="str">
        <f>IF(I185&gt;=90,"امتياز",IF(I185&gt;=80,"جيدجدا",IF(I185&gt;=70,"جيد",IF(I185&gt;=60,"متوسط ",IF(I185&gt;=50,"مقبول","ضعيف")))))</f>
        <v>ضعيف</v>
      </c>
      <c r="N185" s="7"/>
      <c r="O185" s="7"/>
      <c r="P185" s="7">
        <v>39</v>
      </c>
      <c r="Q185" s="7">
        <v>57</v>
      </c>
      <c r="R185" s="16">
        <v>68.421000000000006</v>
      </c>
      <c r="S185" s="17"/>
      <c r="T185" s="17"/>
      <c r="U185" s="17"/>
    </row>
    <row r="186" spans="1:21" ht="24" customHeight="1" thickBot="1" x14ac:dyDescent="0.3">
      <c r="A186" s="6">
        <v>185</v>
      </c>
      <c r="B186" s="13" t="s">
        <v>18</v>
      </c>
      <c r="C186" s="15" t="s">
        <v>541</v>
      </c>
      <c r="D186" s="8" t="s">
        <v>67</v>
      </c>
      <c r="E186" s="9">
        <v>46</v>
      </c>
      <c r="F186" s="9">
        <v>2</v>
      </c>
      <c r="G186" s="9">
        <f>F186+E186</f>
        <v>48</v>
      </c>
      <c r="H186" s="9">
        <v>0</v>
      </c>
      <c r="I186" s="9">
        <f>H186+G186</f>
        <v>48</v>
      </c>
      <c r="J186" s="10" t="s">
        <v>359</v>
      </c>
      <c r="K186" s="10" t="s">
        <v>717</v>
      </c>
      <c r="L186" s="11" t="str">
        <f>IF(I186&gt;=50,"ناجح","راسب")</f>
        <v>راسب</v>
      </c>
      <c r="M186" s="11" t="str">
        <f>IF(I186&gt;=90,"امتياز",IF(I186&gt;=80,"جيدجدا",IF(I186&gt;=70,"جيد",IF(I186&gt;=60,"متوسط ",IF(I186&gt;=50,"مقبول","ضعيف")))))</f>
        <v>ضعيف</v>
      </c>
      <c r="N186" s="7"/>
      <c r="O186" s="7"/>
      <c r="P186" s="7">
        <v>39</v>
      </c>
      <c r="Q186" s="7">
        <v>57</v>
      </c>
      <c r="R186" s="16">
        <v>68.421000000000006</v>
      </c>
      <c r="S186" s="17"/>
      <c r="T186" s="17"/>
      <c r="U186" s="17"/>
    </row>
    <row r="187" spans="1:21" ht="24" customHeight="1" thickBot="1" x14ac:dyDescent="0.3">
      <c r="A187" s="6">
        <v>186</v>
      </c>
      <c r="B187" s="13" t="s">
        <v>19</v>
      </c>
      <c r="C187" s="15" t="s">
        <v>542</v>
      </c>
      <c r="D187" s="8" t="s">
        <v>67</v>
      </c>
      <c r="E187" s="9">
        <v>48</v>
      </c>
      <c r="F187" s="9">
        <v>6</v>
      </c>
      <c r="G187" s="9">
        <f>F187+E187</f>
        <v>54</v>
      </c>
      <c r="H187" s="9">
        <v>0</v>
      </c>
      <c r="I187" s="9">
        <f>H187+G187</f>
        <v>54</v>
      </c>
      <c r="J187" s="10" t="s">
        <v>359</v>
      </c>
      <c r="K187" s="10" t="s">
        <v>717</v>
      </c>
      <c r="L187" s="11" t="str">
        <f>IF(I187&gt;=50,"ناجح","راسب")</f>
        <v>ناجح</v>
      </c>
      <c r="M187" s="11" t="str">
        <f>IF(I187&gt;=90,"امتياز",IF(I187&gt;=80,"جيدجدا",IF(I187&gt;=70,"جيد",IF(I187&gt;=60,"متوسط ",IF(I187&gt;=50,"مقبول","ضعيف")))))</f>
        <v>مقبول</v>
      </c>
      <c r="N187" s="7">
        <v>24</v>
      </c>
      <c r="O187" s="7" t="s">
        <v>6</v>
      </c>
      <c r="P187" s="7">
        <v>39</v>
      </c>
      <c r="Q187" s="7">
        <v>57</v>
      </c>
      <c r="R187" s="16">
        <v>68.421000000000006</v>
      </c>
      <c r="S187" s="17"/>
      <c r="T187" s="17"/>
      <c r="U187" s="17"/>
    </row>
    <row r="188" spans="1:21" ht="24" customHeight="1" thickBot="1" x14ac:dyDescent="0.3">
      <c r="A188" s="6">
        <v>187</v>
      </c>
      <c r="B188" s="13" t="s">
        <v>20</v>
      </c>
      <c r="C188" s="15" t="s">
        <v>543</v>
      </c>
      <c r="D188" s="8" t="s">
        <v>67</v>
      </c>
      <c r="E188" s="9">
        <v>36</v>
      </c>
      <c r="F188" s="9">
        <v>0</v>
      </c>
      <c r="G188" s="9">
        <f>F188+E188</f>
        <v>36</v>
      </c>
      <c r="H188" s="9">
        <v>0</v>
      </c>
      <c r="I188" s="9">
        <f>H188+G188</f>
        <v>36</v>
      </c>
      <c r="J188" s="10" t="s">
        <v>359</v>
      </c>
      <c r="K188" s="10" t="s">
        <v>717</v>
      </c>
      <c r="L188" s="11" t="str">
        <f>IF(I188&gt;=50,"ناجح","راسب")</f>
        <v>راسب</v>
      </c>
      <c r="M188" s="11" t="str">
        <f>IF(I188&gt;=90,"امتياز",IF(I188&gt;=80,"جيدجدا",IF(I188&gt;=70,"جيد",IF(I188&gt;=60,"متوسط ",IF(I188&gt;=50,"مقبول","ضعيف")))))</f>
        <v>ضعيف</v>
      </c>
      <c r="N188" s="7"/>
      <c r="O188" s="7"/>
      <c r="P188" s="7">
        <v>39</v>
      </c>
      <c r="Q188" s="7">
        <v>57</v>
      </c>
      <c r="R188" s="16">
        <v>68.421000000000006</v>
      </c>
      <c r="S188" s="17"/>
      <c r="T188" s="17"/>
      <c r="U188" s="17"/>
    </row>
    <row r="189" spans="1:21" ht="24" customHeight="1" thickBot="1" x14ac:dyDescent="0.3">
      <c r="A189" s="6">
        <v>188</v>
      </c>
      <c r="B189" s="13" t="s">
        <v>21</v>
      </c>
      <c r="C189" s="15" t="s">
        <v>544</v>
      </c>
      <c r="D189" s="8" t="s">
        <v>67</v>
      </c>
      <c r="E189" s="9">
        <v>36</v>
      </c>
      <c r="F189" s="9">
        <v>6</v>
      </c>
      <c r="G189" s="9">
        <f>F189+E189</f>
        <v>42</v>
      </c>
      <c r="H189" s="9">
        <v>0</v>
      </c>
      <c r="I189" s="9">
        <f>H189+G189</f>
        <v>42</v>
      </c>
      <c r="J189" s="10" t="s">
        <v>359</v>
      </c>
      <c r="K189" s="10" t="s">
        <v>717</v>
      </c>
      <c r="L189" s="11" t="str">
        <f>IF(I189&gt;=50,"ناجح","راسب")</f>
        <v>راسب</v>
      </c>
      <c r="M189" s="11" t="str">
        <f>IF(I189&gt;=90,"امتياز",IF(I189&gt;=80,"جيدجدا",IF(I189&gt;=70,"جيد",IF(I189&gt;=60,"متوسط ",IF(I189&gt;=50,"مقبول","ضعيف")))))</f>
        <v>ضعيف</v>
      </c>
      <c r="N189" s="7"/>
      <c r="O189" s="7"/>
      <c r="P189" s="7">
        <v>39</v>
      </c>
      <c r="Q189" s="7">
        <v>57</v>
      </c>
      <c r="R189" s="16">
        <v>68.421000000000006</v>
      </c>
      <c r="S189" s="17"/>
      <c r="T189" s="17"/>
      <c r="U189" s="17"/>
    </row>
    <row r="190" spans="1:21" ht="24" customHeight="1" thickBot="1" x14ac:dyDescent="0.3">
      <c r="A190" s="6">
        <v>189</v>
      </c>
      <c r="B190" s="13" t="s">
        <v>22</v>
      </c>
      <c r="C190" s="15" t="s">
        <v>545</v>
      </c>
      <c r="D190" s="8" t="s">
        <v>67</v>
      </c>
      <c r="E190" s="9">
        <v>0</v>
      </c>
      <c r="F190" s="9">
        <v>0</v>
      </c>
      <c r="G190" s="9">
        <f>F190+E190</f>
        <v>0</v>
      </c>
      <c r="H190" s="9">
        <v>0</v>
      </c>
      <c r="I190" s="9">
        <f>H190+G190</f>
        <v>0</v>
      </c>
      <c r="J190" s="10" t="s">
        <v>359</v>
      </c>
      <c r="K190" s="10" t="s">
        <v>717</v>
      </c>
      <c r="L190" s="11" t="str">
        <f>IF(I190&gt;=50,"ناجح","راسب")</f>
        <v>راسب</v>
      </c>
      <c r="M190" s="11" t="str">
        <f>IF(I190&gt;=90,"امتياز",IF(I190&gt;=80,"جيدجدا",IF(I190&gt;=70,"جيد",IF(I190&gt;=60,"متوسط ",IF(I190&gt;=50,"مقبول","ضعيف")))))</f>
        <v>ضعيف</v>
      </c>
      <c r="N190" s="7"/>
      <c r="O190" s="7"/>
      <c r="P190" s="7">
        <v>39</v>
      </c>
      <c r="Q190" s="7">
        <v>57</v>
      </c>
      <c r="R190" s="16">
        <v>68.421000000000006</v>
      </c>
      <c r="S190" s="17"/>
      <c r="T190" s="17"/>
      <c r="U190" s="17"/>
    </row>
    <row r="191" spans="1:21" ht="24" customHeight="1" thickBot="1" x14ac:dyDescent="0.3">
      <c r="A191" s="6">
        <v>190</v>
      </c>
      <c r="B191" s="13" t="s">
        <v>23</v>
      </c>
      <c r="C191" s="15" t="s">
        <v>546</v>
      </c>
      <c r="D191" s="8" t="s">
        <v>67</v>
      </c>
      <c r="E191" s="9">
        <v>66</v>
      </c>
      <c r="F191" s="9">
        <v>18</v>
      </c>
      <c r="G191" s="9">
        <f>F191+E191</f>
        <v>84</v>
      </c>
      <c r="H191" s="9">
        <v>0</v>
      </c>
      <c r="I191" s="9">
        <f>H191+G191</f>
        <v>84</v>
      </c>
      <c r="J191" s="10" t="s">
        <v>359</v>
      </c>
      <c r="K191" s="10" t="s">
        <v>717</v>
      </c>
      <c r="L191" s="11" t="str">
        <f>IF(I191&gt;=50,"ناجح","راسب")</f>
        <v>ناجح</v>
      </c>
      <c r="M191" s="11" t="str">
        <f>IF(I191&gt;=90,"امتياز",IF(I191&gt;=80,"جيدجدا",IF(I191&gt;=70,"جيد",IF(I191&gt;=60,"متوسط ",IF(I191&gt;=50,"مقبول","ضعيف")))))</f>
        <v>جيدجدا</v>
      </c>
      <c r="N191" s="7">
        <v>1</v>
      </c>
      <c r="O191" s="7" t="s">
        <v>6</v>
      </c>
      <c r="P191" s="7">
        <v>39</v>
      </c>
      <c r="Q191" s="7">
        <v>57</v>
      </c>
      <c r="R191" s="16">
        <v>68.421000000000006</v>
      </c>
      <c r="S191" s="17"/>
      <c r="T191" s="17"/>
      <c r="U191" s="17"/>
    </row>
    <row r="192" spans="1:21" ht="24" customHeight="1" thickBot="1" x14ac:dyDescent="0.3">
      <c r="A192" s="6">
        <v>191</v>
      </c>
      <c r="B192" s="13" t="s">
        <v>24</v>
      </c>
      <c r="C192" s="15" t="s">
        <v>547</v>
      </c>
      <c r="D192" s="8" t="s">
        <v>67</v>
      </c>
      <c r="E192" s="9">
        <v>57</v>
      </c>
      <c r="F192" s="9">
        <v>0</v>
      </c>
      <c r="G192" s="9">
        <f>F192+E192</f>
        <v>57</v>
      </c>
      <c r="H192" s="9">
        <v>0</v>
      </c>
      <c r="I192" s="9">
        <f>H192+G192</f>
        <v>57</v>
      </c>
      <c r="J192" s="10" t="s">
        <v>359</v>
      </c>
      <c r="K192" s="10" t="s">
        <v>717</v>
      </c>
      <c r="L192" s="11" t="str">
        <f>IF(I192&gt;=50,"ناجح","راسب")</f>
        <v>ناجح</v>
      </c>
      <c r="M192" s="11" t="str">
        <f>IF(I192&gt;=90,"امتياز",IF(I192&gt;=80,"جيدجدا",IF(I192&gt;=70,"جيد",IF(I192&gt;=60,"متوسط ",IF(I192&gt;=50,"مقبول","ضعيف")))))</f>
        <v>مقبول</v>
      </c>
      <c r="N192" s="7">
        <v>20</v>
      </c>
      <c r="O192" s="7" t="s">
        <v>6</v>
      </c>
      <c r="P192" s="7">
        <v>39</v>
      </c>
      <c r="Q192" s="7">
        <v>57</v>
      </c>
      <c r="R192" s="16">
        <v>68.421000000000006</v>
      </c>
      <c r="S192" s="17"/>
      <c r="T192" s="17"/>
      <c r="U192" s="17"/>
    </row>
    <row r="193" spans="1:21" ht="24" customHeight="1" thickBot="1" x14ac:dyDescent="0.3">
      <c r="A193" s="6">
        <v>192</v>
      </c>
      <c r="B193" s="13" t="s">
        <v>25</v>
      </c>
      <c r="C193" s="15" t="s">
        <v>548</v>
      </c>
      <c r="D193" s="8" t="s">
        <v>67</v>
      </c>
      <c r="E193" s="9">
        <v>55</v>
      </c>
      <c r="F193" s="9">
        <v>15</v>
      </c>
      <c r="G193" s="9">
        <f>F193+E193</f>
        <v>70</v>
      </c>
      <c r="H193" s="9">
        <v>0</v>
      </c>
      <c r="I193" s="9">
        <f>H193+G193</f>
        <v>70</v>
      </c>
      <c r="J193" s="10" t="s">
        <v>359</v>
      </c>
      <c r="K193" s="10" t="s">
        <v>717</v>
      </c>
      <c r="L193" s="11" t="str">
        <f>IF(I193&gt;=50,"ناجح","راسب")</f>
        <v>ناجح</v>
      </c>
      <c r="M193" s="11" t="str">
        <f>IF(I193&gt;=90,"امتياز",IF(I193&gt;=80,"جيدجدا",IF(I193&gt;=70,"جيد",IF(I193&gt;=60,"متوسط ",IF(I193&gt;=50,"مقبول","ضعيف")))))</f>
        <v>جيد</v>
      </c>
      <c r="N193" s="7">
        <v>10</v>
      </c>
      <c r="O193" s="7" t="s">
        <v>6</v>
      </c>
      <c r="P193" s="7">
        <v>39</v>
      </c>
      <c r="Q193" s="7">
        <v>57</v>
      </c>
      <c r="R193" s="16">
        <v>68.421000000000006</v>
      </c>
      <c r="S193" s="17"/>
      <c r="T193" s="17"/>
      <c r="U193" s="17"/>
    </row>
    <row r="194" spans="1:21" ht="24" customHeight="1" thickBot="1" x14ac:dyDescent="0.3">
      <c r="A194" s="6">
        <v>193</v>
      </c>
      <c r="B194" s="13" t="s">
        <v>26</v>
      </c>
      <c r="C194" s="15" t="s">
        <v>549</v>
      </c>
      <c r="D194" s="8" t="s">
        <v>67</v>
      </c>
      <c r="E194" s="9">
        <v>55</v>
      </c>
      <c r="F194" s="9">
        <v>8</v>
      </c>
      <c r="G194" s="9">
        <f>F194+E194</f>
        <v>63</v>
      </c>
      <c r="H194" s="9">
        <v>0</v>
      </c>
      <c r="I194" s="9">
        <f>H194+G194</f>
        <v>63</v>
      </c>
      <c r="J194" s="10" t="s">
        <v>359</v>
      </c>
      <c r="K194" s="10" t="s">
        <v>717</v>
      </c>
      <c r="L194" s="11" t="str">
        <f>IF(I194&gt;=50,"ناجح","راسب")</f>
        <v>ناجح</v>
      </c>
      <c r="M194" s="11" t="str">
        <f>IF(I194&gt;=90,"امتياز",IF(I194&gt;=80,"جيدجدا",IF(I194&gt;=70,"جيد",IF(I194&gt;=60,"متوسط ",IF(I194&gt;=50,"مقبول","ضعيف")))))</f>
        <v xml:space="preserve">متوسط </v>
      </c>
      <c r="N194" s="7">
        <v>14</v>
      </c>
      <c r="O194" s="7" t="s">
        <v>6</v>
      </c>
      <c r="P194" s="7">
        <v>39</v>
      </c>
      <c r="Q194" s="7">
        <v>57</v>
      </c>
      <c r="R194" s="16">
        <v>68.421000000000006</v>
      </c>
      <c r="S194" s="17"/>
      <c r="T194" s="17"/>
      <c r="U194" s="17"/>
    </row>
    <row r="195" spans="1:21" ht="24" customHeight="1" thickBot="1" x14ac:dyDescent="0.3">
      <c r="A195" s="6">
        <v>194</v>
      </c>
      <c r="B195" s="13" t="s">
        <v>27</v>
      </c>
      <c r="C195" s="15" t="s">
        <v>550</v>
      </c>
      <c r="D195" s="8" t="s">
        <v>67</v>
      </c>
      <c r="E195" s="9">
        <v>59</v>
      </c>
      <c r="F195" s="9">
        <v>8</v>
      </c>
      <c r="G195" s="9">
        <f>F195+E195</f>
        <v>67</v>
      </c>
      <c r="H195" s="9">
        <v>0</v>
      </c>
      <c r="I195" s="9">
        <f>H195+G195</f>
        <v>67</v>
      </c>
      <c r="J195" s="10" t="s">
        <v>359</v>
      </c>
      <c r="K195" s="10" t="s">
        <v>717</v>
      </c>
      <c r="L195" s="11" t="str">
        <f>IF(I195&gt;=50,"ناجح","راسب")</f>
        <v>ناجح</v>
      </c>
      <c r="M195" s="11" t="str">
        <f>IF(I195&gt;=90,"امتياز",IF(I195&gt;=80,"جيدجدا",IF(I195&gt;=70,"جيد",IF(I195&gt;=60,"متوسط ",IF(I195&gt;=50,"مقبول","ضعيف")))))</f>
        <v xml:space="preserve">متوسط </v>
      </c>
      <c r="N195" s="7">
        <v>12</v>
      </c>
      <c r="O195" s="7" t="s">
        <v>6</v>
      </c>
      <c r="P195" s="7">
        <v>39</v>
      </c>
      <c r="Q195" s="7">
        <v>57</v>
      </c>
      <c r="R195" s="16">
        <v>68.421000000000006</v>
      </c>
      <c r="S195" s="17"/>
      <c r="T195" s="17"/>
      <c r="U195" s="17"/>
    </row>
    <row r="196" spans="1:21" ht="24" customHeight="1" thickBot="1" x14ac:dyDescent="0.3">
      <c r="A196" s="6">
        <v>195</v>
      </c>
      <c r="B196" s="13" t="s">
        <v>28</v>
      </c>
      <c r="C196" s="15" t="s">
        <v>551</v>
      </c>
      <c r="D196" s="8" t="s">
        <v>67</v>
      </c>
      <c r="E196" s="9">
        <v>46</v>
      </c>
      <c r="F196" s="9">
        <v>8</v>
      </c>
      <c r="G196" s="9">
        <f>F196+E196</f>
        <v>54</v>
      </c>
      <c r="H196" s="9">
        <v>0</v>
      </c>
      <c r="I196" s="9">
        <f>H196+G196</f>
        <v>54</v>
      </c>
      <c r="J196" s="10" t="s">
        <v>359</v>
      </c>
      <c r="K196" s="10" t="s">
        <v>717</v>
      </c>
      <c r="L196" s="11" t="str">
        <f>IF(I196&gt;=50,"ناجح","راسب")</f>
        <v>ناجح</v>
      </c>
      <c r="M196" s="11" t="str">
        <f>IF(I196&gt;=90,"امتياز",IF(I196&gt;=80,"جيدجدا",IF(I196&gt;=70,"جيد",IF(I196&gt;=60,"متوسط ",IF(I196&gt;=50,"مقبول","ضعيف")))))</f>
        <v>مقبول</v>
      </c>
      <c r="N196" s="7">
        <v>24</v>
      </c>
      <c r="O196" s="7" t="s">
        <v>6</v>
      </c>
      <c r="P196" s="7">
        <v>39</v>
      </c>
      <c r="Q196" s="7">
        <v>57</v>
      </c>
      <c r="R196" s="16">
        <v>68.421000000000006</v>
      </c>
      <c r="S196" s="17"/>
      <c r="T196" s="17"/>
      <c r="U196" s="17"/>
    </row>
    <row r="197" spans="1:21" ht="24" customHeight="1" thickBot="1" x14ac:dyDescent="0.3">
      <c r="A197" s="6">
        <v>196</v>
      </c>
      <c r="B197" s="13" t="s">
        <v>29</v>
      </c>
      <c r="C197" s="15" t="s">
        <v>552</v>
      </c>
      <c r="D197" s="8" t="s">
        <v>67</v>
      </c>
      <c r="E197" s="9">
        <v>50</v>
      </c>
      <c r="F197" s="9">
        <v>8</v>
      </c>
      <c r="G197" s="9">
        <f>F197+E197</f>
        <v>58</v>
      </c>
      <c r="H197" s="9">
        <v>0</v>
      </c>
      <c r="I197" s="9">
        <f>H197+G197</f>
        <v>58</v>
      </c>
      <c r="J197" s="10" t="s">
        <v>359</v>
      </c>
      <c r="K197" s="10" t="s">
        <v>717</v>
      </c>
      <c r="L197" s="11" t="str">
        <f>IF(I197&gt;=50,"ناجح","راسب")</f>
        <v>ناجح</v>
      </c>
      <c r="M197" s="11" t="str">
        <f>IF(I197&gt;=90,"امتياز",IF(I197&gt;=80,"جيدجدا",IF(I197&gt;=70,"جيد",IF(I197&gt;=60,"متوسط ",IF(I197&gt;=50,"مقبول","ضعيف")))))</f>
        <v>مقبول</v>
      </c>
      <c r="N197" s="7">
        <v>19</v>
      </c>
      <c r="O197" s="7" t="s">
        <v>6</v>
      </c>
      <c r="P197" s="7">
        <v>39</v>
      </c>
      <c r="Q197" s="7">
        <v>57</v>
      </c>
      <c r="R197" s="16">
        <v>68.421000000000006</v>
      </c>
      <c r="S197" s="17"/>
      <c r="T197" s="17"/>
      <c r="U197" s="17"/>
    </row>
    <row r="198" spans="1:21" ht="24" customHeight="1" thickBot="1" x14ac:dyDescent="0.3">
      <c r="A198" s="6">
        <v>197</v>
      </c>
      <c r="B198" s="13" t="s">
        <v>30</v>
      </c>
      <c r="C198" s="15" t="s">
        <v>553</v>
      </c>
      <c r="D198" s="8" t="s">
        <v>67</v>
      </c>
      <c r="E198" s="9">
        <v>43</v>
      </c>
      <c r="F198" s="9">
        <v>8</v>
      </c>
      <c r="G198" s="9">
        <f>F198+E198</f>
        <v>51</v>
      </c>
      <c r="H198" s="9">
        <v>0</v>
      </c>
      <c r="I198" s="9">
        <f>H198+G198</f>
        <v>51</v>
      </c>
      <c r="J198" s="10" t="s">
        <v>359</v>
      </c>
      <c r="K198" s="10" t="s">
        <v>717</v>
      </c>
      <c r="L198" s="11" t="str">
        <f>IF(I198&gt;=50,"ناجح","راسب")</f>
        <v>ناجح</v>
      </c>
      <c r="M198" s="11" t="str">
        <f>IF(I198&gt;=90,"امتياز",IF(I198&gt;=80,"جيدجدا",IF(I198&gt;=70,"جيد",IF(I198&gt;=60,"متوسط ",IF(I198&gt;=50,"مقبول","ضعيف")))))</f>
        <v>مقبول</v>
      </c>
      <c r="N198" s="7">
        <v>25</v>
      </c>
      <c r="O198" s="7" t="s">
        <v>6</v>
      </c>
      <c r="P198" s="7">
        <v>39</v>
      </c>
      <c r="Q198" s="7">
        <v>57</v>
      </c>
      <c r="R198" s="16">
        <v>68.421000000000006</v>
      </c>
      <c r="S198" s="17"/>
      <c r="T198" s="17"/>
      <c r="U198" s="17"/>
    </row>
    <row r="199" spans="1:21" ht="24" customHeight="1" thickBot="1" x14ac:dyDescent="0.3">
      <c r="A199" s="6">
        <v>198</v>
      </c>
      <c r="B199" s="13" t="s">
        <v>31</v>
      </c>
      <c r="C199" s="15" t="s">
        <v>554</v>
      </c>
      <c r="D199" s="8" t="s">
        <v>67</v>
      </c>
      <c r="E199" s="9">
        <v>0</v>
      </c>
      <c r="F199" s="9">
        <v>0</v>
      </c>
      <c r="G199" s="9">
        <f>F199+E199</f>
        <v>0</v>
      </c>
      <c r="H199" s="9">
        <v>0</v>
      </c>
      <c r="I199" s="9">
        <f>H199+G199</f>
        <v>0</v>
      </c>
      <c r="J199" s="10" t="s">
        <v>359</v>
      </c>
      <c r="K199" s="10" t="s">
        <v>717</v>
      </c>
      <c r="L199" s="11" t="str">
        <f>IF(I199&gt;=50,"ناجح","راسب")</f>
        <v>راسب</v>
      </c>
      <c r="M199" s="11" t="str">
        <f>IF(I199&gt;=90,"امتياز",IF(I199&gt;=80,"جيدجدا",IF(I199&gt;=70,"جيد",IF(I199&gt;=60,"متوسط ",IF(I199&gt;=50,"مقبول","ضعيف")))))</f>
        <v>ضعيف</v>
      </c>
      <c r="N199" s="7"/>
      <c r="O199" s="7"/>
      <c r="P199" s="7">
        <v>39</v>
      </c>
      <c r="Q199" s="7">
        <v>57</v>
      </c>
      <c r="R199" s="16">
        <v>68.421000000000006</v>
      </c>
      <c r="S199" s="17"/>
      <c r="T199" s="17"/>
      <c r="U199" s="17"/>
    </row>
    <row r="200" spans="1:21" ht="24" customHeight="1" thickBot="1" x14ac:dyDescent="0.3">
      <c r="A200" s="6">
        <v>199</v>
      </c>
      <c r="B200" s="13" t="s">
        <v>32</v>
      </c>
      <c r="C200" s="15" t="s">
        <v>555</v>
      </c>
      <c r="D200" s="8" t="s">
        <v>67</v>
      </c>
      <c r="E200" s="9">
        <v>52</v>
      </c>
      <c r="F200" s="9">
        <v>5</v>
      </c>
      <c r="G200" s="9">
        <f>F200+E200</f>
        <v>57</v>
      </c>
      <c r="H200" s="9">
        <v>0</v>
      </c>
      <c r="I200" s="9">
        <f>H200+G200</f>
        <v>57</v>
      </c>
      <c r="J200" s="10" t="s">
        <v>359</v>
      </c>
      <c r="K200" s="10" t="s">
        <v>717</v>
      </c>
      <c r="L200" s="11" t="str">
        <f>IF(I200&gt;=50,"ناجح","راسب")</f>
        <v>ناجح</v>
      </c>
      <c r="M200" s="11" t="str">
        <f>IF(I200&gt;=90,"امتياز",IF(I200&gt;=80,"جيدجدا",IF(I200&gt;=70,"جيد",IF(I200&gt;=60,"متوسط ",IF(I200&gt;=50,"مقبول","ضعيف")))))</f>
        <v>مقبول</v>
      </c>
      <c r="N200" s="7">
        <v>21</v>
      </c>
      <c r="O200" s="7" t="s">
        <v>6</v>
      </c>
      <c r="P200" s="7">
        <v>39</v>
      </c>
      <c r="Q200" s="7">
        <v>57</v>
      </c>
      <c r="R200" s="16">
        <v>68.421000000000006</v>
      </c>
      <c r="S200" s="17"/>
      <c r="T200" s="17"/>
      <c r="U200" s="17"/>
    </row>
    <row r="201" spans="1:21" ht="24" customHeight="1" thickBot="1" x14ac:dyDescent="0.3">
      <c r="A201" s="6">
        <v>200</v>
      </c>
      <c r="B201" s="13" t="s">
        <v>33</v>
      </c>
      <c r="C201" s="15" t="s">
        <v>556</v>
      </c>
      <c r="D201" s="8" t="s">
        <v>67</v>
      </c>
      <c r="E201" s="9">
        <v>0</v>
      </c>
      <c r="F201" s="9">
        <v>0</v>
      </c>
      <c r="G201" s="9">
        <f>F201+E201</f>
        <v>0</v>
      </c>
      <c r="H201" s="9">
        <v>0</v>
      </c>
      <c r="I201" s="9">
        <f>H201+G201</f>
        <v>0</v>
      </c>
      <c r="J201" s="10" t="s">
        <v>359</v>
      </c>
      <c r="K201" s="10" t="s">
        <v>717</v>
      </c>
      <c r="L201" s="11" t="str">
        <f>IF(I201&gt;=50,"ناجح","راسب")</f>
        <v>راسب</v>
      </c>
      <c r="M201" s="11" t="str">
        <f>IF(I201&gt;=90,"امتياز",IF(I201&gt;=80,"جيدجدا",IF(I201&gt;=70,"جيد",IF(I201&gt;=60,"متوسط ",IF(I201&gt;=50,"مقبول","ضعيف")))))</f>
        <v>ضعيف</v>
      </c>
      <c r="N201" s="7"/>
      <c r="O201" s="7"/>
      <c r="P201" s="7">
        <v>39</v>
      </c>
      <c r="Q201" s="7">
        <v>57</v>
      </c>
      <c r="R201" s="16">
        <v>68.421000000000006</v>
      </c>
      <c r="S201" s="17"/>
      <c r="T201" s="17"/>
      <c r="U201" s="17"/>
    </row>
    <row r="202" spans="1:21" ht="24" customHeight="1" thickBot="1" x14ac:dyDescent="0.3">
      <c r="A202" s="6">
        <v>201</v>
      </c>
      <c r="B202" s="13" t="s">
        <v>34</v>
      </c>
      <c r="C202" s="15" t="s">
        <v>557</v>
      </c>
      <c r="D202" s="8" t="s">
        <v>67</v>
      </c>
      <c r="E202" s="9">
        <v>57</v>
      </c>
      <c r="F202" s="9">
        <v>10</v>
      </c>
      <c r="G202" s="9">
        <f>F202+E202</f>
        <v>67</v>
      </c>
      <c r="H202" s="9">
        <v>0</v>
      </c>
      <c r="I202" s="9">
        <f>H202+G202</f>
        <v>67</v>
      </c>
      <c r="J202" s="10" t="s">
        <v>359</v>
      </c>
      <c r="K202" s="10" t="s">
        <v>717</v>
      </c>
      <c r="L202" s="11" t="str">
        <f>IF(I202&gt;=50,"ناجح","راسب")</f>
        <v>ناجح</v>
      </c>
      <c r="M202" s="11" t="str">
        <f>IF(I202&gt;=90,"امتياز",IF(I202&gt;=80,"جيدجدا",IF(I202&gt;=70,"جيد",IF(I202&gt;=60,"متوسط ",IF(I202&gt;=50,"مقبول","ضعيف")))))</f>
        <v xml:space="preserve">متوسط </v>
      </c>
      <c r="N202" s="7">
        <v>12</v>
      </c>
      <c r="O202" s="7" t="s">
        <v>6</v>
      </c>
      <c r="P202" s="7">
        <v>39</v>
      </c>
      <c r="Q202" s="7">
        <v>57</v>
      </c>
      <c r="R202" s="16">
        <v>68.421000000000006</v>
      </c>
      <c r="S202" s="17"/>
      <c r="T202" s="17"/>
      <c r="U202" s="17"/>
    </row>
    <row r="203" spans="1:21" ht="24" customHeight="1" thickBot="1" x14ac:dyDescent="0.3">
      <c r="A203" s="6">
        <v>202</v>
      </c>
      <c r="B203" s="13" t="s">
        <v>35</v>
      </c>
      <c r="C203" s="15" t="s">
        <v>558</v>
      </c>
      <c r="D203" s="8" t="s">
        <v>67</v>
      </c>
      <c r="E203" s="9">
        <v>0</v>
      </c>
      <c r="F203" s="9">
        <v>0</v>
      </c>
      <c r="G203" s="9">
        <f>F203+E203</f>
        <v>0</v>
      </c>
      <c r="H203" s="9">
        <v>0</v>
      </c>
      <c r="I203" s="9">
        <f>H203+G203</f>
        <v>0</v>
      </c>
      <c r="J203" s="10" t="s">
        <v>359</v>
      </c>
      <c r="K203" s="10" t="s">
        <v>717</v>
      </c>
      <c r="L203" s="11" t="str">
        <f>IF(I203&gt;=50,"ناجح","راسب")</f>
        <v>راسب</v>
      </c>
      <c r="M203" s="11" t="str">
        <f>IF(I203&gt;=90,"امتياز",IF(I203&gt;=80,"جيدجدا",IF(I203&gt;=70,"جيد",IF(I203&gt;=60,"متوسط ",IF(I203&gt;=50,"مقبول","ضعيف")))))</f>
        <v>ضعيف</v>
      </c>
      <c r="N203" s="7"/>
      <c r="O203" s="7"/>
      <c r="P203" s="7">
        <v>39</v>
      </c>
      <c r="Q203" s="7">
        <v>57</v>
      </c>
      <c r="R203" s="16">
        <v>68.421000000000006</v>
      </c>
      <c r="S203" s="17"/>
      <c r="T203" s="17"/>
      <c r="U203" s="17"/>
    </row>
    <row r="204" spans="1:21" ht="24" customHeight="1" thickBot="1" x14ac:dyDescent="0.3">
      <c r="A204" s="6">
        <v>203</v>
      </c>
      <c r="B204" s="13" t="s">
        <v>36</v>
      </c>
      <c r="C204" s="15" t="s">
        <v>559</v>
      </c>
      <c r="D204" s="8" t="s">
        <v>67</v>
      </c>
      <c r="E204" s="9">
        <v>53</v>
      </c>
      <c r="F204" s="9">
        <v>4</v>
      </c>
      <c r="G204" s="9">
        <f>F204+E204</f>
        <v>57</v>
      </c>
      <c r="H204" s="9">
        <v>0</v>
      </c>
      <c r="I204" s="9">
        <f>H204+G204</f>
        <v>57</v>
      </c>
      <c r="J204" s="10" t="s">
        <v>359</v>
      </c>
      <c r="K204" s="10" t="s">
        <v>717</v>
      </c>
      <c r="L204" s="11" t="str">
        <f>IF(I204&gt;=50,"ناجح","راسب")</f>
        <v>ناجح</v>
      </c>
      <c r="M204" s="11" t="str">
        <f>IF(I204&gt;=90,"امتياز",IF(I204&gt;=80,"جيدجدا",IF(I204&gt;=70,"جيد",IF(I204&gt;=60,"متوسط ",IF(I204&gt;=50,"مقبول","ضعيف")))))</f>
        <v>مقبول</v>
      </c>
      <c r="N204" s="7">
        <v>21</v>
      </c>
      <c r="O204" s="7" t="s">
        <v>6</v>
      </c>
      <c r="P204" s="7">
        <v>39</v>
      </c>
      <c r="Q204" s="7">
        <v>57</v>
      </c>
      <c r="R204" s="16">
        <v>68.421000000000006</v>
      </c>
      <c r="S204" s="17"/>
      <c r="T204" s="17"/>
      <c r="U204" s="17"/>
    </row>
    <row r="205" spans="1:21" ht="24" customHeight="1" thickBot="1" x14ac:dyDescent="0.3">
      <c r="A205" s="6">
        <v>204</v>
      </c>
      <c r="B205" s="13" t="s">
        <v>37</v>
      </c>
      <c r="C205" s="15" t="s">
        <v>560</v>
      </c>
      <c r="D205" s="8" t="s">
        <v>67</v>
      </c>
      <c r="E205" s="9">
        <v>60</v>
      </c>
      <c r="F205" s="9">
        <v>13</v>
      </c>
      <c r="G205" s="9">
        <f>F205+E205</f>
        <v>73</v>
      </c>
      <c r="H205" s="9">
        <v>0</v>
      </c>
      <c r="I205" s="9">
        <f>H205+G205</f>
        <v>73</v>
      </c>
      <c r="J205" s="10" t="s">
        <v>359</v>
      </c>
      <c r="K205" s="10" t="s">
        <v>717</v>
      </c>
      <c r="L205" s="11" t="str">
        <f>IF(I205&gt;=50,"ناجح","راسب")</f>
        <v>ناجح</v>
      </c>
      <c r="M205" s="11" t="str">
        <f>IF(I205&gt;=90,"امتياز",IF(I205&gt;=80,"جيدجدا",IF(I205&gt;=70,"جيد",IF(I205&gt;=60,"متوسط ",IF(I205&gt;=50,"مقبول","ضعيف")))))</f>
        <v>جيد</v>
      </c>
      <c r="N205" s="7">
        <v>7</v>
      </c>
      <c r="O205" s="7" t="s">
        <v>6</v>
      </c>
      <c r="P205" s="7">
        <v>39</v>
      </c>
      <c r="Q205" s="7">
        <v>57</v>
      </c>
      <c r="R205" s="16">
        <v>68.421000000000006</v>
      </c>
      <c r="S205" s="17"/>
      <c r="T205" s="17"/>
      <c r="U205" s="17"/>
    </row>
    <row r="206" spans="1:21" ht="24" customHeight="1" thickBot="1" x14ac:dyDescent="0.3">
      <c r="A206" s="6">
        <v>205</v>
      </c>
      <c r="B206" s="13" t="s">
        <v>38</v>
      </c>
      <c r="C206" s="15" t="s">
        <v>561</v>
      </c>
      <c r="D206" s="8" t="s">
        <v>67</v>
      </c>
      <c r="E206" s="9">
        <v>0</v>
      </c>
      <c r="F206" s="9">
        <v>0</v>
      </c>
      <c r="G206" s="9">
        <f>F206+E206</f>
        <v>0</v>
      </c>
      <c r="H206" s="9">
        <v>0</v>
      </c>
      <c r="I206" s="9">
        <f>H206+G206</f>
        <v>0</v>
      </c>
      <c r="J206" s="10" t="s">
        <v>359</v>
      </c>
      <c r="K206" s="10" t="s">
        <v>717</v>
      </c>
      <c r="L206" s="11" t="str">
        <f>IF(I206&gt;=50,"ناجح","راسب")</f>
        <v>راسب</v>
      </c>
      <c r="M206" s="11" t="str">
        <f>IF(I206&gt;=90,"امتياز",IF(I206&gt;=80,"جيدجدا",IF(I206&gt;=70,"جيد",IF(I206&gt;=60,"متوسط ",IF(I206&gt;=50,"مقبول","ضعيف")))))</f>
        <v>ضعيف</v>
      </c>
      <c r="N206" s="7"/>
      <c r="O206" s="7"/>
      <c r="P206" s="7">
        <v>39</v>
      </c>
      <c r="Q206" s="7">
        <v>57</v>
      </c>
      <c r="R206" s="16">
        <v>68.421000000000006</v>
      </c>
      <c r="S206" s="17"/>
      <c r="T206" s="17"/>
      <c r="U206" s="17"/>
    </row>
    <row r="207" spans="1:21" ht="24" customHeight="1" thickBot="1" x14ac:dyDescent="0.3">
      <c r="A207" s="6">
        <v>206</v>
      </c>
      <c r="B207" s="13" t="s">
        <v>39</v>
      </c>
      <c r="C207" s="15" t="s">
        <v>562</v>
      </c>
      <c r="D207" s="8" t="s">
        <v>67</v>
      </c>
      <c r="E207" s="9">
        <v>41</v>
      </c>
      <c r="F207" s="9">
        <v>8</v>
      </c>
      <c r="G207" s="9">
        <f>F207+E207</f>
        <v>49</v>
      </c>
      <c r="H207" s="9">
        <v>0</v>
      </c>
      <c r="I207" s="9">
        <f>H207+G207</f>
        <v>49</v>
      </c>
      <c r="J207" s="10" t="s">
        <v>359</v>
      </c>
      <c r="K207" s="10" t="s">
        <v>717</v>
      </c>
      <c r="L207" s="11" t="str">
        <f>IF(I207&gt;=50,"ناجح","راسب")</f>
        <v>راسب</v>
      </c>
      <c r="M207" s="11" t="str">
        <f>IF(I207&gt;=90,"امتياز",IF(I207&gt;=80,"جيدجدا",IF(I207&gt;=70,"جيد",IF(I207&gt;=60,"متوسط ",IF(I207&gt;=50,"مقبول","ضعيف")))))</f>
        <v>ضعيف</v>
      </c>
      <c r="N207" s="7"/>
      <c r="O207" s="7"/>
      <c r="P207" s="7">
        <v>39</v>
      </c>
      <c r="Q207" s="7">
        <v>57</v>
      </c>
      <c r="R207" s="16">
        <v>68.421000000000006</v>
      </c>
      <c r="S207" s="17"/>
      <c r="T207" s="17"/>
      <c r="U207" s="17"/>
    </row>
    <row r="208" spans="1:21" ht="24" customHeight="1" thickBot="1" x14ac:dyDescent="0.3">
      <c r="A208" s="6">
        <v>207</v>
      </c>
      <c r="B208" s="13" t="s">
        <v>40</v>
      </c>
      <c r="C208" s="15" t="s">
        <v>563</v>
      </c>
      <c r="D208" s="8" t="s">
        <v>67</v>
      </c>
      <c r="E208" s="9">
        <v>53</v>
      </c>
      <c r="F208" s="9">
        <v>8</v>
      </c>
      <c r="G208" s="9">
        <f>F208+E208</f>
        <v>61</v>
      </c>
      <c r="H208" s="9">
        <v>0</v>
      </c>
      <c r="I208" s="9">
        <f>H208+G208</f>
        <v>61</v>
      </c>
      <c r="J208" s="10" t="s">
        <v>359</v>
      </c>
      <c r="K208" s="10" t="s">
        <v>717</v>
      </c>
      <c r="L208" s="11" t="str">
        <f>IF(I208&gt;=50,"ناجح","راسب")</f>
        <v>ناجح</v>
      </c>
      <c r="M208" s="11" t="str">
        <f>IF(I208&gt;=90,"امتياز",IF(I208&gt;=80,"جيدجدا",IF(I208&gt;=70,"جيد",IF(I208&gt;=60,"متوسط ",IF(I208&gt;=50,"مقبول","ضعيف")))))</f>
        <v xml:space="preserve">متوسط </v>
      </c>
      <c r="N208" s="7">
        <v>16</v>
      </c>
      <c r="O208" s="7" t="s">
        <v>6</v>
      </c>
      <c r="P208" s="7">
        <v>39</v>
      </c>
      <c r="Q208" s="7">
        <v>57</v>
      </c>
      <c r="R208" s="16">
        <v>68.421000000000006</v>
      </c>
      <c r="S208" s="17"/>
      <c r="T208" s="17"/>
      <c r="U208" s="17"/>
    </row>
    <row r="209" spans="1:21" ht="24" customHeight="1" thickBot="1" x14ac:dyDescent="0.3">
      <c r="A209" s="6">
        <v>208</v>
      </c>
      <c r="B209" s="13" t="s">
        <v>41</v>
      </c>
      <c r="C209" s="15" t="s">
        <v>564</v>
      </c>
      <c r="D209" s="8" t="s">
        <v>67</v>
      </c>
      <c r="E209" s="9">
        <v>57</v>
      </c>
      <c r="F209" s="9">
        <v>0</v>
      </c>
      <c r="G209" s="9">
        <f>F209+E209</f>
        <v>57</v>
      </c>
      <c r="H209" s="9">
        <v>0</v>
      </c>
      <c r="I209" s="9">
        <f>H209+G209</f>
        <v>57</v>
      </c>
      <c r="J209" s="10" t="s">
        <v>359</v>
      </c>
      <c r="K209" s="10" t="s">
        <v>717</v>
      </c>
      <c r="L209" s="11" t="str">
        <f>IF(I209&gt;=50,"ناجح","راسب")</f>
        <v>ناجح</v>
      </c>
      <c r="M209" s="11" t="str">
        <f>IF(I209&gt;=90,"امتياز",IF(I209&gt;=80,"جيدجدا",IF(I209&gt;=70,"جيد",IF(I209&gt;=60,"متوسط ",IF(I209&gt;=50,"مقبول","ضعيف")))))</f>
        <v>مقبول</v>
      </c>
      <c r="N209" s="7">
        <v>21</v>
      </c>
      <c r="O209" s="7" t="s">
        <v>6</v>
      </c>
      <c r="P209" s="7">
        <v>39</v>
      </c>
      <c r="Q209" s="7">
        <v>57</v>
      </c>
      <c r="R209" s="16">
        <v>68.421000000000006</v>
      </c>
      <c r="S209" s="17"/>
      <c r="T209" s="17"/>
      <c r="U209" s="17"/>
    </row>
    <row r="210" spans="1:21" ht="24" customHeight="1" thickBot="1" x14ac:dyDescent="0.3">
      <c r="A210" s="6">
        <v>209</v>
      </c>
      <c r="B210" s="13" t="s">
        <v>42</v>
      </c>
      <c r="C210" s="15" t="s">
        <v>565</v>
      </c>
      <c r="D210" s="8" t="s">
        <v>67</v>
      </c>
      <c r="E210" s="9">
        <v>41</v>
      </c>
      <c r="F210" s="9">
        <v>0</v>
      </c>
      <c r="G210" s="9">
        <f>F210+E210</f>
        <v>41</v>
      </c>
      <c r="H210" s="9">
        <v>0</v>
      </c>
      <c r="I210" s="9">
        <f>H210+G210</f>
        <v>41</v>
      </c>
      <c r="J210" s="10" t="s">
        <v>359</v>
      </c>
      <c r="K210" s="10" t="s">
        <v>717</v>
      </c>
      <c r="L210" s="11" t="str">
        <f>IF(I210&gt;=50,"ناجح","راسب")</f>
        <v>راسب</v>
      </c>
      <c r="M210" s="11" t="str">
        <f>IF(I210&gt;=90,"امتياز",IF(I210&gt;=80,"جيدجدا",IF(I210&gt;=70,"جيد",IF(I210&gt;=60,"متوسط ",IF(I210&gt;=50,"مقبول","ضعيف")))))</f>
        <v>ضعيف</v>
      </c>
      <c r="N210" s="7"/>
      <c r="O210" s="7"/>
      <c r="P210" s="7">
        <v>39</v>
      </c>
      <c r="Q210" s="7">
        <v>57</v>
      </c>
      <c r="R210" s="16">
        <v>68.421000000000006</v>
      </c>
      <c r="S210" s="17"/>
      <c r="T210" s="17"/>
      <c r="U210" s="17"/>
    </row>
    <row r="211" spans="1:21" ht="24" customHeight="1" thickBot="1" x14ac:dyDescent="0.3">
      <c r="A211" s="6">
        <v>210</v>
      </c>
      <c r="B211" s="13" t="s">
        <v>43</v>
      </c>
      <c r="C211" s="15" t="s">
        <v>566</v>
      </c>
      <c r="D211" s="8" t="s">
        <v>67</v>
      </c>
      <c r="E211" s="9">
        <v>62</v>
      </c>
      <c r="F211" s="9">
        <v>8</v>
      </c>
      <c r="G211" s="9">
        <f>F211+E211</f>
        <v>70</v>
      </c>
      <c r="H211" s="9">
        <v>0</v>
      </c>
      <c r="I211" s="9">
        <f>H211+G211</f>
        <v>70</v>
      </c>
      <c r="J211" s="10" t="s">
        <v>359</v>
      </c>
      <c r="K211" s="10" t="s">
        <v>717</v>
      </c>
      <c r="L211" s="11" t="str">
        <f>IF(I211&gt;=50,"ناجح","راسب")</f>
        <v>ناجح</v>
      </c>
      <c r="M211" s="11" t="str">
        <f>IF(I211&gt;=90,"امتياز",IF(I211&gt;=80,"جيدجدا",IF(I211&gt;=70,"جيد",IF(I211&gt;=60,"متوسط ",IF(I211&gt;=50,"مقبول","ضعيف")))))</f>
        <v>جيد</v>
      </c>
      <c r="N211" s="7">
        <v>10</v>
      </c>
      <c r="O211" s="7" t="s">
        <v>6</v>
      </c>
      <c r="P211" s="7">
        <v>39</v>
      </c>
      <c r="Q211" s="7">
        <v>57</v>
      </c>
      <c r="R211" s="16">
        <v>68.421000000000006</v>
      </c>
      <c r="S211" s="17"/>
      <c r="T211" s="17"/>
      <c r="U211" s="17"/>
    </row>
    <row r="212" spans="1:21" ht="24" customHeight="1" thickBot="1" x14ac:dyDescent="0.3">
      <c r="A212" s="6">
        <v>211</v>
      </c>
      <c r="B212" s="13" t="s">
        <v>44</v>
      </c>
      <c r="C212" s="15" t="s">
        <v>567</v>
      </c>
      <c r="D212" s="8" t="s">
        <v>67</v>
      </c>
      <c r="E212" s="9">
        <v>71</v>
      </c>
      <c r="F212" s="9">
        <v>10</v>
      </c>
      <c r="G212" s="9">
        <f>F212+E212</f>
        <v>81</v>
      </c>
      <c r="H212" s="9">
        <v>0</v>
      </c>
      <c r="I212" s="9">
        <f>H212+G212</f>
        <v>81</v>
      </c>
      <c r="J212" s="10" t="s">
        <v>359</v>
      </c>
      <c r="K212" s="10" t="s">
        <v>717</v>
      </c>
      <c r="L212" s="11" t="str">
        <f>IF(I212&gt;=50,"ناجح","راسب")</f>
        <v>ناجح</v>
      </c>
      <c r="M212" s="11" t="str">
        <f>IF(I212&gt;=90,"امتياز",IF(I212&gt;=80,"جيدجدا",IF(I212&gt;=70,"جيد",IF(I212&gt;=60,"متوسط ",IF(I212&gt;=50,"مقبول","ضعيف")))))</f>
        <v>جيدجدا</v>
      </c>
      <c r="N212" s="7">
        <v>2</v>
      </c>
      <c r="O212" s="7" t="s">
        <v>6</v>
      </c>
      <c r="P212" s="7">
        <v>39</v>
      </c>
      <c r="Q212" s="7">
        <v>57</v>
      </c>
      <c r="R212" s="16">
        <v>68.421000000000006</v>
      </c>
      <c r="S212" s="17"/>
      <c r="T212" s="17"/>
      <c r="U212" s="17"/>
    </row>
    <row r="213" spans="1:21" ht="24" customHeight="1" thickBot="1" x14ac:dyDescent="0.3">
      <c r="A213" s="6">
        <v>212</v>
      </c>
      <c r="B213" s="13" t="s">
        <v>45</v>
      </c>
      <c r="C213" s="15" t="s">
        <v>568</v>
      </c>
      <c r="D213" s="8" t="s">
        <v>67</v>
      </c>
      <c r="E213" s="9">
        <v>0</v>
      </c>
      <c r="F213" s="9">
        <v>0</v>
      </c>
      <c r="G213" s="9">
        <f>F213+E213</f>
        <v>0</v>
      </c>
      <c r="H213" s="9">
        <v>0</v>
      </c>
      <c r="I213" s="9">
        <f>H213+G213</f>
        <v>0</v>
      </c>
      <c r="J213" s="10" t="s">
        <v>359</v>
      </c>
      <c r="K213" s="10" t="s">
        <v>717</v>
      </c>
      <c r="L213" s="11" t="str">
        <f>IF(I213&gt;=50,"ناجح","راسب")</f>
        <v>راسب</v>
      </c>
      <c r="M213" s="11" t="str">
        <f>IF(I213&gt;=90,"امتياز",IF(I213&gt;=80,"جيدجدا",IF(I213&gt;=70,"جيد",IF(I213&gt;=60,"متوسط ",IF(I213&gt;=50,"مقبول","ضعيف")))))</f>
        <v>ضعيف</v>
      </c>
      <c r="N213" s="7"/>
      <c r="O213" s="7"/>
      <c r="P213" s="7">
        <v>39</v>
      </c>
      <c r="Q213" s="7">
        <v>57</v>
      </c>
      <c r="R213" s="16">
        <v>68.421000000000006</v>
      </c>
      <c r="S213" s="17"/>
      <c r="T213" s="17"/>
      <c r="U213" s="17"/>
    </row>
    <row r="214" spans="1:21" ht="24" customHeight="1" thickBot="1" x14ac:dyDescent="0.3">
      <c r="A214" s="6">
        <v>213</v>
      </c>
      <c r="B214" s="13" t="s">
        <v>46</v>
      </c>
      <c r="C214" s="15" t="s">
        <v>569</v>
      </c>
      <c r="D214" s="8" t="s">
        <v>67</v>
      </c>
      <c r="E214" s="9">
        <v>55</v>
      </c>
      <c r="F214" s="9">
        <v>4</v>
      </c>
      <c r="G214" s="9">
        <f>F214+E214</f>
        <v>59</v>
      </c>
      <c r="H214" s="9">
        <v>0</v>
      </c>
      <c r="I214" s="9">
        <f>H214+G214</f>
        <v>59</v>
      </c>
      <c r="J214" s="10" t="s">
        <v>359</v>
      </c>
      <c r="K214" s="10" t="s">
        <v>717</v>
      </c>
      <c r="L214" s="11" t="str">
        <f>IF(I214&gt;=50,"ناجح","راسب")</f>
        <v>ناجح</v>
      </c>
      <c r="M214" s="11" t="str">
        <f>IF(I214&gt;=90,"امتياز",IF(I214&gt;=80,"جيدجدا",IF(I214&gt;=70,"جيد",IF(I214&gt;=60,"متوسط ",IF(I214&gt;=50,"مقبول","ضعيف")))))</f>
        <v>مقبول</v>
      </c>
      <c r="N214" s="7">
        <v>18</v>
      </c>
      <c r="O214" s="7" t="s">
        <v>6</v>
      </c>
      <c r="P214" s="7">
        <v>39</v>
      </c>
      <c r="Q214" s="7">
        <v>57</v>
      </c>
      <c r="R214" s="16">
        <v>68.421000000000006</v>
      </c>
      <c r="S214" s="17"/>
      <c r="T214" s="17"/>
      <c r="U214" s="17"/>
    </row>
    <row r="215" spans="1:21" ht="24" customHeight="1" thickBot="1" x14ac:dyDescent="0.3">
      <c r="A215" s="6">
        <v>214</v>
      </c>
      <c r="B215" s="13" t="s">
        <v>47</v>
      </c>
      <c r="C215" s="15" t="s">
        <v>570</v>
      </c>
      <c r="D215" s="8" t="s">
        <v>67</v>
      </c>
      <c r="E215" s="9">
        <v>52</v>
      </c>
      <c r="F215" s="9">
        <v>6</v>
      </c>
      <c r="G215" s="9">
        <f>F215+E215</f>
        <v>58</v>
      </c>
      <c r="H215" s="9">
        <v>0</v>
      </c>
      <c r="I215" s="9">
        <f>H215+G215</f>
        <v>58</v>
      </c>
      <c r="J215" s="10" t="s">
        <v>359</v>
      </c>
      <c r="K215" s="10" t="s">
        <v>717</v>
      </c>
      <c r="L215" s="11" t="str">
        <f>IF(I215&gt;=50,"ناجح","راسب")</f>
        <v>ناجح</v>
      </c>
      <c r="M215" s="11" t="str">
        <f>IF(I215&gt;=90,"امتياز",IF(I215&gt;=80,"جيدجدا",IF(I215&gt;=70,"جيد",IF(I215&gt;=60,"متوسط ",IF(I215&gt;=50,"مقبول","ضعيف")))))</f>
        <v>مقبول</v>
      </c>
      <c r="N215" s="7">
        <v>19</v>
      </c>
      <c r="O215" s="7" t="s">
        <v>6</v>
      </c>
      <c r="P215" s="7">
        <v>39</v>
      </c>
      <c r="Q215" s="7">
        <v>57</v>
      </c>
      <c r="R215" s="16">
        <v>68.421000000000006</v>
      </c>
      <c r="S215" s="17"/>
      <c r="T215" s="17"/>
      <c r="U215" s="17"/>
    </row>
    <row r="216" spans="1:21" ht="24" customHeight="1" thickBot="1" x14ac:dyDescent="0.3">
      <c r="A216" s="6">
        <v>215</v>
      </c>
      <c r="B216" s="13" t="s">
        <v>48</v>
      </c>
      <c r="C216" s="15" t="s">
        <v>571</v>
      </c>
      <c r="D216" s="8" t="s">
        <v>67</v>
      </c>
      <c r="E216" s="9">
        <v>52</v>
      </c>
      <c r="F216" s="9">
        <v>15</v>
      </c>
      <c r="G216" s="9">
        <f>F216+E216</f>
        <v>67</v>
      </c>
      <c r="H216" s="9">
        <v>0</v>
      </c>
      <c r="I216" s="9">
        <f>H216+G216</f>
        <v>67</v>
      </c>
      <c r="J216" s="10" t="s">
        <v>359</v>
      </c>
      <c r="K216" s="10" t="s">
        <v>717</v>
      </c>
      <c r="L216" s="11" t="str">
        <f>IF(I216&gt;=50,"ناجح","راسب")</f>
        <v>ناجح</v>
      </c>
      <c r="M216" s="11" t="str">
        <f>IF(I216&gt;=90,"امتياز",IF(I216&gt;=80,"جيدجدا",IF(I216&gt;=70,"جيد",IF(I216&gt;=60,"متوسط ",IF(I216&gt;=50,"مقبول","ضعيف")))))</f>
        <v xml:space="preserve">متوسط </v>
      </c>
      <c r="N216" s="7">
        <v>12</v>
      </c>
      <c r="O216" s="7" t="s">
        <v>6</v>
      </c>
      <c r="P216" s="7">
        <v>39</v>
      </c>
      <c r="Q216" s="7">
        <v>57</v>
      </c>
      <c r="R216" s="16">
        <v>68.421000000000006</v>
      </c>
      <c r="S216" s="17"/>
      <c r="T216" s="17"/>
      <c r="U216" s="17"/>
    </row>
    <row r="217" spans="1:21" ht="24" customHeight="1" thickBot="1" x14ac:dyDescent="0.3">
      <c r="A217" s="6">
        <v>216</v>
      </c>
      <c r="B217" s="13" t="s">
        <v>49</v>
      </c>
      <c r="C217" s="15" t="s">
        <v>572</v>
      </c>
      <c r="D217" s="8" t="s">
        <v>67</v>
      </c>
      <c r="E217" s="9">
        <v>50</v>
      </c>
      <c r="F217" s="9">
        <v>0</v>
      </c>
      <c r="G217" s="9">
        <f>F217+E217</f>
        <v>50</v>
      </c>
      <c r="H217" s="9">
        <v>0</v>
      </c>
      <c r="I217" s="9">
        <f>H217+G217</f>
        <v>50</v>
      </c>
      <c r="J217" s="10" t="s">
        <v>359</v>
      </c>
      <c r="K217" s="10" t="s">
        <v>717</v>
      </c>
      <c r="L217" s="11" t="str">
        <f>IF(I217&gt;=50,"ناجح","راسب")</f>
        <v>ناجح</v>
      </c>
      <c r="M217" s="11" t="str">
        <f>IF(I217&gt;=90,"امتياز",IF(I217&gt;=80,"جيدجدا",IF(I217&gt;=70,"جيد",IF(I217&gt;=60,"متوسط ",IF(I217&gt;=50,"مقبول","ضعيف")))))</f>
        <v>مقبول</v>
      </c>
      <c r="N217" s="7">
        <v>26</v>
      </c>
      <c r="O217" s="7" t="s">
        <v>6</v>
      </c>
      <c r="P217" s="7">
        <v>39</v>
      </c>
      <c r="Q217" s="7">
        <v>57</v>
      </c>
      <c r="R217" s="16">
        <v>68.421000000000006</v>
      </c>
      <c r="S217" s="17"/>
      <c r="T217" s="17"/>
      <c r="U217" s="17"/>
    </row>
    <row r="218" spans="1:21" ht="24" customHeight="1" thickBot="1" x14ac:dyDescent="0.3">
      <c r="A218" s="6">
        <v>217</v>
      </c>
      <c r="B218" s="13" t="s">
        <v>50</v>
      </c>
      <c r="C218" s="15" t="s">
        <v>573</v>
      </c>
      <c r="D218" s="8" t="s">
        <v>67</v>
      </c>
      <c r="E218" s="9">
        <v>0</v>
      </c>
      <c r="F218" s="9">
        <v>0</v>
      </c>
      <c r="G218" s="9">
        <f>F218+E218</f>
        <v>0</v>
      </c>
      <c r="H218" s="9">
        <v>0</v>
      </c>
      <c r="I218" s="9">
        <f>H218+G218</f>
        <v>0</v>
      </c>
      <c r="J218" s="10" t="s">
        <v>359</v>
      </c>
      <c r="K218" s="10" t="s">
        <v>717</v>
      </c>
      <c r="L218" s="11" t="str">
        <f>IF(I218&gt;=50,"ناجح","راسب")</f>
        <v>راسب</v>
      </c>
      <c r="M218" s="11" t="str">
        <f>IF(I218&gt;=90,"امتياز",IF(I218&gt;=80,"جيدجدا",IF(I218&gt;=70,"جيد",IF(I218&gt;=60,"متوسط ",IF(I218&gt;=50,"مقبول","ضعيف")))))</f>
        <v>ضعيف</v>
      </c>
      <c r="N218" s="7"/>
      <c r="O218" s="7"/>
      <c r="P218" s="7">
        <v>39</v>
      </c>
      <c r="Q218" s="7">
        <v>57</v>
      </c>
      <c r="R218" s="16">
        <v>68.421000000000006</v>
      </c>
      <c r="S218" s="17"/>
      <c r="T218" s="17"/>
      <c r="U218" s="17"/>
    </row>
    <row r="219" spans="1:21" ht="24" customHeight="1" thickBot="1" x14ac:dyDescent="0.3">
      <c r="A219" s="6">
        <v>218</v>
      </c>
      <c r="B219" s="13" t="s">
        <v>51</v>
      </c>
      <c r="C219" s="15" t="s">
        <v>574</v>
      </c>
      <c r="D219" s="8" t="s">
        <v>67</v>
      </c>
      <c r="E219" s="9">
        <v>0</v>
      </c>
      <c r="F219" s="9">
        <v>0</v>
      </c>
      <c r="G219" s="9">
        <f>F219+E219</f>
        <v>0</v>
      </c>
      <c r="H219" s="9">
        <v>0</v>
      </c>
      <c r="I219" s="9">
        <f>H219+G219</f>
        <v>0</v>
      </c>
      <c r="J219" s="10" t="s">
        <v>359</v>
      </c>
      <c r="K219" s="10" t="s">
        <v>717</v>
      </c>
      <c r="L219" s="11" t="str">
        <f>IF(I219&gt;=50,"ناجح","راسب")</f>
        <v>راسب</v>
      </c>
      <c r="M219" s="11" t="str">
        <f>IF(I219&gt;=90,"امتياز",IF(I219&gt;=80,"جيدجدا",IF(I219&gt;=70,"جيد",IF(I219&gt;=60,"متوسط ",IF(I219&gt;=50,"مقبول","ضعيف")))))</f>
        <v>ضعيف</v>
      </c>
      <c r="N219" s="7"/>
      <c r="O219" s="7"/>
      <c r="P219" s="7">
        <v>39</v>
      </c>
      <c r="Q219" s="7">
        <v>57</v>
      </c>
      <c r="R219" s="16">
        <v>68.421000000000006</v>
      </c>
      <c r="S219" s="17"/>
      <c r="T219" s="17"/>
      <c r="U219" s="17"/>
    </row>
    <row r="220" spans="1:21" ht="24" customHeight="1" thickBot="1" x14ac:dyDescent="0.3">
      <c r="A220" s="6">
        <v>219</v>
      </c>
      <c r="B220" s="13" t="s">
        <v>52</v>
      </c>
      <c r="C220" s="15" t="s">
        <v>575</v>
      </c>
      <c r="D220" s="8" t="s">
        <v>67</v>
      </c>
      <c r="E220" s="9">
        <v>53</v>
      </c>
      <c r="F220" s="9">
        <v>9</v>
      </c>
      <c r="G220" s="9">
        <f>F220+E220</f>
        <v>62</v>
      </c>
      <c r="H220" s="9">
        <v>0</v>
      </c>
      <c r="I220" s="9">
        <f>H220+G220</f>
        <v>62</v>
      </c>
      <c r="J220" s="10" t="s">
        <v>359</v>
      </c>
      <c r="K220" s="10" t="s">
        <v>717</v>
      </c>
      <c r="L220" s="11" t="str">
        <f>IF(I220&gt;=50,"ناجح","راسب")</f>
        <v>ناجح</v>
      </c>
      <c r="M220" s="11" t="str">
        <f>IF(I220&gt;=90,"امتياز",IF(I220&gt;=80,"جيدجدا",IF(I220&gt;=70,"جيد",IF(I220&gt;=60,"متوسط ",IF(I220&gt;=50,"مقبول","ضعيف")))))</f>
        <v xml:space="preserve">متوسط </v>
      </c>
      <c r="N220" s="7">
        <v>14</v>
      </c>
      <c r="O220" s="7" t="s">
        <v>6</v>
      </c>
      <c r="P220" s="7">
        <v>39</v>
      </c>
      <c r="Q220" s="7">
        <v>57</v>
      </c>
      <c r="R220" s="16">
        <v>68.421000000000006</v>
      </c>
      <c r="S220" s="17"/>
      <c r="T220" s="17"/>
      <c r="U220" s="17"/>
    </row>
    <row r="221" spans="1:21" ht="24" customHeight="1" thickBot="1" x14ac:dyDescent="0.3">
      <c r="A221" s="6">
        <v>220</v>
      </c>
      <c r="B221" s="13" t="s">
        <v>53</v>
      </c>
      <c r="C221" s="15" t="s">
        <v>576</v>
      </c>
      <c r="D221" s="8" t="s">
        <v>67</v>
      </c>
      <c r="E221" s="9">
        <v>64</v>
      </c>
      <c r="F221" s="9">
        <v>15</v>
      </c>
      <c r="G221" s="9">
        <f>F221+E221</f>
        <v>79</v>
      </c>
      <c r="H221" s="9">
        <v>0</v>
      </c>
      <c r="I221" s="9">
        <f>H221+G221</f>
        <v>79</v>
      </c>
      <c r="J221" s="10" t="s">
        <v>359</v>
      </c>
      <c r="K221" s="10" t="s">
        <v>717</v>
      </c>
      <c r="L221" s="11" t="str">
        <f>IF(I221&gt;=50,"ناجح","راسب")</f>
        <v>ناجح</v>
      </c>
      <c r="M221" s="11" t="str">
        <f>IF(I221&gt;=90,"امتياز",IF(I221&gt;=80,"جيدجدا",IF(I221&gt;=70,"جيد",IF(I221&gt;=60,"متوسط ",IF(I221&gt;=50,"مقبول","ضعيف")))))</f>
        <v>جيد</v>
      </c>
      <c r="N221" s="7">
        <v>3</v>
      </c>
      <c r="O221" s="7" t="s">
        <v>6</v>
      </c>
      <c r="P221" s="7">
        <v>39</v>
      </c>
      <c r="Q221" s="7">
        <v>57</v>
      </c>
      <c r="R221" s="16">
        <v>68.421000000000006</v>
      </c>
      <c r="S221" s="17"/>
      <c r="T221" s="17"/>
      <c r="U221" s="17"/>
    </row>
    <row r="222" spans="1:21" ht="24" customHeight="1" thickBot="1" x14ac:dyDescent="0.3">
      <c r="A222" s="6">
        <v>221</v>
      </c>
      <c r="B222" s="13" t="s">
        <v>54</v>
      </c>
      <c r="C222" s="15" t="s">
        <v>577</v>
      </c>
      <c r="D222" s="8" t="s">
        <v>67</v>
      </c>
      <c r="E222" s="9">
        <v>48</v>
      </c>
      <c r="F222" s="9">
        <v>8</v>
      </c>
      <c r="G222" s="9">
        <f>F222+E222</f>
        <v>56</v>
      </c>
      <c r="H222" s="9">
        <v>0</v>
      </c>
      <c r="I222" s="9">
        <f>H222+G222</f>
        <v>56</v>
      </c>
      <c r="J222" s="10" t="s">
        <v>359</v>
      </c>
      <c r="K222" s="10" t="s">
        <v>717</v>
      </c>
      <c r="L222" s="11" t="str">
        <f>IF(I222&gt;=50,"ناجح","راسب")</f>
        <v>ناجح</v>
      </c>
      <c r="M222" s="11" t="str">
        <f>IF(I222&gt;=90,"امتياز",IF(I222&gt;=80,"جيدجدا",IF(I222&gt;=70,"جيد",IF(I222&gt;=60,"متوسط ",IF(I222&gt;=50,"مقبول","ضعيف")))))</f>
        <v>مقبول</v>
      </c>
      <c r="N222" s="7">
        <v>22</v>
      </c>
      <c r="O222" s="7" t="s">
        <v>6</v>
      </c>
      <c r="P222" s="7">
        <v>39</v>
      </c>
      <c r="Q222" s="7">
        <v>57</v>
      </c>
      <c r="R222" s="16">
        <v>68.421000000000006</v>
      </c>
      <c r="S222" s="17"/>
      <c r="T222" s="17"/>
      <c r="U222" s="17"/>
    </row>
    <row r="223" spans="1:21" ht="24" customHeight="1" thickBot="1" x14ac:dyDescent="0.3">
      <c r="A223" s="6">
        <v>222</v>
      </c>
      <c r="B223" s="13" t="s">
        <v>55</v>
      </c>
      <c r="C223" s="15" t="s">
        <v>578</v>
      </c>
      <c r="D223" s="8" t="s">
        <v>67</v>
      </c>
      <c r="E223" s="9">
        <v>53</v>
      </c>
      <c r="F223" s="9">
        <v>12</v>
      </c>
      <c r="G223" s="9">
        <f>F223+E223</f>
        <v>65</v>
      </c>
      <c r="H223" s="9">
        <v>0</v>
      </c>
      <c r="I223" s="9">
        <f>H223+G223</f>
        <v>65</v>
      </c>
      <c r="J223" s="10" t="s">
        <v>359</v>
      </c>
      <c r="K223" s="10" t="s">
        <v>717</v>
      </c>
      <c r="L223" s="11" t="str">
        <f>IF(I223&gt;=50,"ناجح","راسب")</f>
        <v>ناجح</v>
      </c>
      <c r="M223" s="11" t="str">
        <f>IF(I223&gt;=90,"امتياز",IF(I223&gt;=80,"جيدجدا",IF(I223&gt;=70,"جيد",IF(I223&gt;=60,"متوسط ",IF(I223&gt;=50,"مقبول","ضعيف")))))</f>
        <v xml:space="preserve">متوسط </v>
      </c>
      <c r="N223" s="7">
        <v>13</v>
      </c>
      <c r="O223" s="7" t="s">
        <v>6</v>
      </c>
      <c r="P223" s="7">
        <v>39</v>
      </c>
      <c r="Q223" s="7">
        <v>57</v>
      </c>
      <c r="R223" s="16">
        <v>68.421000000000006</v>
      </c>
      <c r="S223" s="17"/>
      <c r="T223" s="17"/>
      <c r="U223" s="17"/>
    </row>
    <row r="224" spans="1:21" ht="24" customHeight="1" thickBot="1" x14ac:dyDescent="0.3">
      <c r="A224" s="6">
        <v>223</v>
      </c>
      <c r="B224" s="13" t="s">
        <v>56</v>
      </c>
      <c r="C224" s="15" t="s">
        <v>579</v>
      </c>
      <c r="D224" s="8" t="s">
        <v>67</v>
      </c>
      <c r="E224" s="9">
        <v>32</v>
      </c>
      <c r="F224" s="9">
        <v>8</v>
      </c>
      <c r="G224" s="9">
        <f>F224+E224</f>
        <v>40</v>
      </c>
      <c r="H224" s="9">
        <v>0</v>
      </c>
      <c r="I224" s="9">
        <f>H224+G224</f>
        <v>40</v>
      </c>
      <c r="J224" s="10" t="s">
        <v>359</v>
      </c>
      <c r="K224" s="10" t="s">
        <v>717</v>
      </c>
      <c r="L224" s="11" t="str">
        <f>IF(I224&gt;=50,"ناجح","راسب")</f>
        <v>راسب</v>
      </c>
      <c r="M224" s="11" t="str">
        <f>IF(I224&gt;=90,"امتياز",IF(I224&gt;=80,"جيدجدا",IF(I224&gt;=70,"جيد",IF(I224&gt;=60,"متوسط ",IF(I224&gt;=50,"مقبول","ضعيف")))))</f>
        <v>ضعيف</v>
      </c>
      <c r="N224" s="7"/>
      <c r="O224" s="7"/>
      <c r="P224" s="7">
        <v>39</v>
      </c>
      <c r="Q224" s="7">
        <v>57</v>
      </c>
      <c r="R224" s="16">
        <v>68.421000000000006</v>
      </c>
      <c r="S224" s="17"/>
      <c r="T224" s="17"/>
      <c r="U224" s="17"/>
    </row>
    <row r="225" spans="1:21" ht="24" customHeight="1" thickBot="1" x14ac:dyDescent="0.3">
      <c r="A225" s="6">
        <v>224</v>
      </c>
      <c r="B225" s="13" t="s">
        <v>57</v>
      </c>
      <c r="C225" s="15" t="s">
        <v>580</v>
      </c>
      <c r="D225" s="8" t="s">
        <v>67</v>
      </c>
      <c r="E225" s="9">
        <v>55</v>
      </c>
      <c r="F225" s="9">
        <v>8</v>
      </c>
      <c r="G225" s="9">
        <f>F225+E225</f>
        <v>63</v>
      </c>
      <c r="H225" s="9">
        <v>0</v>
      </c>
      <c r="I225" s="9">
        <f>H225+G225</f>
        <v>63</v>
      </c>
      <c r="J225" s="10" t="s">
        <v>359</v>
      </c>
      <c r="K225" s="10" t="s">
        <v>717</v>
      </c>
      <c r="L225" s="11" t="str">
        <f>IF(I225&gt;=50,"ناجح","راسب")</f>
        <v>ناجح</v>
      </c>
      <c r="M225" s="11" t="str">
        <f>IF(I225&gt;=90,"امتياز",IF(I225&gt;=80,"جيدجدا",IF(I225&gt;=70,"جيد",IF(I225&gt;=60,"متوسط ",IF(I225&gt;=50,"مقبول","ضعيف")))))</f>
        <v xml:space="preserve">متوسط </v>
      </c>
      <c r="N225" s="7">
        <v>14</v>
      </c>
      <c r="O225" s="7" t="s">
        <v>6</v>
      </c>
      <c r="P225" s="7">
        <v>39</v>
      </c>
      <c r="Q225" s="7">
        <v>57</v>
      </c>
      <c r="R225" s="16">
        <v>68.421000000000006</v>
      </c>
      <c r="S225" s="17"/>
      <c r="T225" s="17"/>
      <c r="U225" s="17"/>
    </row>
    <row r="226" spans="1:21" ht="24" customHeight="1" thickBot="1" x14ac:dyDescent="0.3">
      <c r="A226" s="6">
        <v>225</v>
      </c>
      <c r="B226" s="13" t="s">
        <v>58</v>
      </c>
      <c r="C226" s="15" t="s">
        <v>581</v>
      </c>
      <c r="D226" s="8" t="s">
        <v>67</v>
      </c>
      <c r="E226" s="9">
        <v>53</v>
      </c>
      <c r="F226" s="9">
        <v>2</v>
      </c>
      <c r="G226" s="9">
        <f>F226+E226</f>
        <v>55</v>
      </c>
      <c r="H226" s="9">
        <v>0</v>
      </c>
      <c r="I226" s="9">
        <f>H226+G226</f>
        <v>55</v>
      </c>
      <c r="J226" s="10" t="s">
        <v>359</v>
      </c>
      <c r="K226" s="10" t="s">
        <v>717</v>
      </c>
      <c r="L226" s="11" t="str">
        <f>IF(I226&gt;=50,"ناجح","راسب")</f>
        <v>ناجح</v>
      </c>
      <c r="M226" s="11" t="str">
        <f>IF(I226&gt;=90,"امتياز",IF(I226&gt;=80,"جيدجدا",IF(I226&gt;=70,"جيد",IF(I226&gt;=60,"متوسط ",IF(I226&gt;=50,"مقبول","ضعيف")))))</f>
        <v>مقبول</v>
      </c>
      <c r="N226" s="7">
        <v>23</v>
      </c>
      <c r="O226" s="7" t="s">
        <v>6</v>
      </c>
      <c r="P226" s="7">
        <v>39</v>
      </c>
      <c r="Q226" s="7">
        <v>57</v>
      </c>
      <c r="R226" s="16">
        <v>68.421000000000006</v>
      </c>
      <c r="S226" s="17"/>
      <c r="T226" s="17"/>
      <c r="U226" s="17"/>
    </row>
    <row r="227" spans="1:21" ht="24" customHeight="1" thickBot="1" x14ac:dyDescent="0.3">
      <c r="A227" s="6">
        <v>226</v>
      </c>
      <c r="B227" s="13" t="s">
        <v>59</v>
      </c>
      <c r="C227" s="15" t="s">
        <v>582</v>
      </c>
      <c r="D227" s="8" t="s">
        <v>67</v>
      </c>
      <c r="E227" s="9">
        <v>59</v>
      </c>
      <c r="F227" s="9">
        <v>12</v>
      </c>
      <c r="G227" s="9">
        <f>F227+E227</f>
        <v>71</v>
      </c>
      <c r="H227" s="9">
        <v>0</v>
      </c>
      <c r="I227" s="9">
        <f>H227+G227</f>
        <v>71</v>
      </c>
      <c r="J227" s="10" t="s">
        <v>359</v>
      </c>
      <c r="K227" s="10" t="s">
        <v>717</v>
      </c>
      <c r="L227" s="11" t="str">
        <f>IF(I227&gt;=50,"ناجح","راسب")</f>
        <v>ناجح</v>
      </c>
      <c r="M227" s="11" t="str">
        <f>IF(I227&gt;=90,"امتياز",IF(I227&gt;=80,"جيدجدا",IF(I227&gt;=70,"جيد",IF(I227&gt;=60,"متوسط ",IF(I227&gt;=50,"مقبول","ضعيف")))))</f>
        <v>جيد</v>
      </c>
      <c r="N227" s="7">
        <v>9</v>
      </c>
      <c r="O227" s="7" t="s">
        <v>6</v>
      </c>
      <c r="P227" s="7">
        <v>39</v>
      </c>
      <c r="Q227" s="7">
        <v>57</v>
      </c>
      <c r="R227" s="16">
        <v>68.421000000000006</v>
      </c>
      <c r="S227" s="17"/>
      <c r="T227" s="17"/>
      <c r="U227" s="17"/>
    </row>
    <row r="228" spans="1:21" ht="24" customHeight="1" thickBot="1" x14ac:dyDescent="0.3">
      <c r="A228" s="6">
        <v>227</v>
      </c>
      <c r="B228" s="13" t="s">
        <v>60</v>
      </c>
      <c r="C228" s="15" t="s">
        <v>583</v>
      </c>
      <c r="D228" s="8" t="s">
        <v>67</v>
      </c>
      <c r="E228" s="9">
        <v>69</v>
      </c>
      <c r="F228" s="9">
        <v>5</v>
      </c>
      <c r="G228" s="9">
        <f>F228+E228</f>
        <v>74</v>
      </c>
      <c r="H228" s="9">
        <v>0</v>
      </c>
      <c r="I228" s="9">
        <f>H228+G228</f>
        <v>74</v>
      </c>
      <c r="J228" s="10" t="s">
        <v>359</v>
      </c>
      <c r="K228" s="10" t="s">
        <v>717</v>
      </c>
      <c r="L228" s="11" t="str">
        <f>IF(I228&gt;=50,"ناجح","راسب")</f>
        <v>ناجح</v>
      </c>
      <c r="M228" s="11" t="str">
        <f>IF(I228&gt;=90,"امتياز",IF(I228&gt;=80,"جيدجدا",IF(I228&gt;=70,"جيد",IF(I228&gt;=60,"متوسط ",IF(I228&gt;=50,"مقبول","ضعيف")))))</f>
        <v>جيد</v>
      </c>
      <c r="N228" s="7">
        <v>6</v>
      </c>
      <c r="O228" s="7" t="s">
        <v>6</v>
      </c>
      <c r="P228" s="7">
        <v>39</v>
      </c>
      <c r="Q228" s="7">
        <v>57</v>
      </c>
      <c r="R228" s="16">
        <v>68.421000000000006</v>
      </c>
      <c r="S228" s="17"/>
      <c r="T228" s="17"/>
      <c r="U228" s="17"/>
    </row>
    <row r="229" spans="1:21" ht="24" customHeight="1" thickBot="1" x14ac:dyDescent="0.3">
      <c r="A229" s="6">
        <v>228</v>
      </c>
      <c r="B229" s="13" t="s">
        <v>61</v>
      </c>
      <c r="C229" s="15" t="s">
        <v>584</v>
      </c>
      <c r="D229" s="8" t="s">
        <v>67</v>
      </c>
      <c r="E229" s="9">
        <v>55</v>
      </c>
      <c r="F229" s="9">
        <v>7</v>
      </c>
      <c r="G229" s="9">
        <f>F229+E229</f>
        <v>62</v>
      </c>
      <c r="H229" s="9">
        <v>0</v>
      </c>
      <c r="I229" s="9">
        <f>H229+G229</f>
        <v>62</v>
      </c>
      <c r="J229" s="10" t="s">
        <v>359</v>
      </c>
      <c r="K229" s="10" t="s">
        <v>717</v>
      </c>
      <c r="L229" s="11" t="str">
        <f>IF(I229&gt;=50,"ناجح","راسب")</f>
        <v>ناجح</v>
      </c>
      <c r="M229" s="11" t="str">
        <f>IF(I229&gt;=90,"امتياز",IF(I229&gt;=80,"جيدجدا",IF(I229&gt;=70,"جيد",IF(I229&gt;=60,"متوسط ",IF(I229&gt;=50,"مقبول","ضعيف")))))</f>
        <v xml:space="preserve">متوسط </v>
      </c>
      <c r="N229" s="7">
        <v>15</v>
      </c>
      <c r="O229" s="7" t="s">
        <v>6</v>
      </c>
      <c r="P229" s="7">
        <v>39</v>
      </c>
      <c r="Q229" s="7">
        <v>57</v>
      </c>
      <c r="R229" s="16">
        <v>68.421000000000006</v>
      </c>
      <c r="S229" s="17"/>
      <c r="T229" s="17"/>
      <c r="U229" s="17"/>
    </row>
    <row r="230" spans="1:21" ht="24" customHeight="1" thickBot="1" x14ac:dyDescent="0.3">
      <c r="A230" s="6">
        <v>229</v>
      </c>
      <c r="B230" s="13" t="s">
        <v>62</v>
      </c>
      <c r="C230" s="15" t="s">
        <v>585</v>
      </c>
      <c r="D230" s="8" t="s">
        <v>67</v>
      </c>
      <c r="E230" s="9">
        <v>64</v>
      </c>
      <c r="F230" s="9">
        <v>10</v>
      </c>
      <c r="G230" s="9">
        <f>F230+E230</f>
        <v>74</v>
      </c>
      <c r="H230" s="9">
        <v>0</v>
      </c>
      <c r="I230" s="9">
        <f>H230+G230</f>
        <v>74</v>
      </c>
      <c r="J230" s="10" t="s">
        <v>359</v>
      </c>
      <c r="K230" s="10" t="s">
        <v>717</v>
      </c>
      <c r="L230" s="11" t="str">
        <f>IF(I230&gt;=50,"ناجح","راسب")</f>
        <v>ناجح</v>
      </c>
      <c r="M230" s="11" t="str">
        <f>IF(I230&gt;=90,"امتياز",IF(I230&gt;=80,"جيدجدا",IF(I230&gt;=70,"جيد",IF(I230&gt;=60,"متوسط ",IF(I230&gt;=50,"مقبول","ضعيف")))))</f>
        <v>جيد</v>
      </c>
      <c r="N230" s="7">
        <v>6</v>
      </c>
      <c r="O230" s="7" t="s">
        <v>6</v>
      </c>
      <c r="P230" s="7">
        <v>39</v>
      </c>
      <c r="Q230" s="7">
        <v>57</v>
      </c>
      <c r="R230" s="16">
        <v>68.421000000000006</v>
      </c>
      <c r="S230" s="17"/>
      <c r="T230" s="17"/>
      <c r="U230" s="17"/>
    </row>
    <row r="231" spans="1:21" ht="24" customHeight="1" thickBot="1" x14ac:dyDescent="0.3">
      <c r="A231" s="6">
        <v>230</v>
      </c>
      <c r="B231" s="13" t="s">
        <v>63</v>
      </c>
      <c r="C231" s="15" t="s">
        <v>586</v>
      </c>
      <c r="D231" s="8" t="s">
        <v>67</v>
      </c>
      <c r="E231" s="9">
        <v>64</v>
      </c>
      <c r="F231" s="9">
        <v>12</v>
      </c>
      <c r="G231" s="9">
        <f>F231+E231</f>
        <v>76</v>
      </c>
      <c r="H231" s="9">
        <v>0</v>
      </c>
      <c r="I231" s="9">
        <f>H231+G231</f>
        <v>76</v>
      </c>
      <c r="J231" s="10" t="s">
        <v>359</v>
      </c>
      <c r="K231" s="10" t="s">
        <v>717</v>
      </c>
      <c r="L231" s="11" t="str">
        <f>IF(I231&gt;=50,"ناجح","راسب")</f>
        <v>ناجح</v>
      </c>
      <c r="M231" s="11" t="str">
        <f>IF(I231&gt;=90,"امتياز",IF(I231&gt;=80,"جيدجدا",IF(I231&gt;=70,"جيد",IF(I231&gt;=60,"متوسط ",IF(I231&gt;=50,"مقبول","ضعيف")))))</f>
        <v>جيد</v>
      </c>
      <c r="N231" s="7">
        <v>5</v>
      </c>
      <c r="O231" s="7" t="s">
        <v>6</v>
      </c>
      <c r="P231" s="7">
        <v>39</v>
      </c>
      <c r="Q231" s="7">
        <v>57</v>
      </c>
      <c r="R231" s="16">
        <v>68.421000000000006</v>
      </c>
      <c r="S231" s="17"/>
      <c r="T231" s="17"/>
      <c r="U231" s="17"/>
    </row>
    <row r="232" spans="1:21" ht="24" customHeight="1" thickBot="1" x14ac:dyDescent="0.3">
      <c r="A232" s="6">
        <v>231</v>
      </c>
      <c r="B232" s="13" t="s">
        <v>64</v>
      </c>
      <c r="C232" s="15" t="s">
        <v>587</v>
      </c>
      <c r="D232" s="8" t="s">
        <v>67</v>
      </c>
      <c r="E232" s="9">
        <v>60</v>
      </c>
      <c r="F232" s="9">
        <v>12</v>
      </c>
      <c r="G232" s="9">
        <f>F232+E232</f>
        <v>72</v>
      </c>
      <c r="H232" s="9">
        <v>0</v>
      </c>
      <c r="I232" s="9">
        <f>H232+G232</f>
        <v>72</v>
      </c>
      <c r="J232" s="10" t="s">
        <v>359</v>
      </c>
      <c r="K232" s="10" t="s">
        <v>717</v>
      </c>
      <c r="L232" s="11" t="str">
        <f>IF(I232&gt;=50,"ناجح","راسب")</f>
        <v>ناجح</v>
      </c>
      <c r="M232" s="11" t="str">
        <f>IF(I232&gt;=90,"امتياز",IF(I232&gt;=80,"جيدجدا",IF(I232&gt;=70,"جيد",IF(I232&gt;=60,"متوسط ",IF(I232&gt;=50,"مقبول","ضعيف")))))</f>
        <v>جيد</v>
      </c>
      <c r="N232" s="7">
        <v>8</v>
      </c>
      <c r="O232" s="7" t="s">
        <v>6</v>
      </c>
      <c r="P232" s="7">
        <v>39</v>
      </c>
      <c r="Q232" s="7">
        <v>57</v>
      </c>
      <c r="R232" s="16">
        <v>68.421000000000006</v>
      </c>
      <c r="S232" s="17"/>
      <c r="T232" s="17"/>
      <c r="U232" s="17"/>
    </row>
    <row r="233" spans="1:21" ht="24" customHeight="1" thickBot="1" x14ac:dyDescent="0.3">
      <c r="A233" s="6">
        <v>232</v>
      </c>
      <c r="B233" s="13" t="s">
        <v>65</v>
      </c>
      <c r="C233" s="15" t="s">
        <v>588</v>
      </c>
      <c r="D233" s="8" t="s">
        <v>67</v>
      </c>
      <c r="E233" s="9">
        <v>55</v>
      </c>
      <c r="F233" s="9">
        <v>0</v>
      </c>
      <c r="G233" s="9">
        <f>F233+E233</f>
        <v>55</v>
      </c>
      <c r="H233" s="9">
        <v>0</v>
      </c>
      <c r="I233" s="9">
        <f>H233+G233</f>
        <v>55</v>
      </c>
      <c r="J233" s="10" t="s">
        <v>359</v>
      </c>
      <c r="K233" s="10" t="s">
        <v>717</v>
      </c>
      <c r="L233" s="11" t="str">
        <f>IF(I233&gt;=50,"ناجح","راسب")</f>
        <v>ناجح</v>
      </c>
      <c r="M233" s="11" t="str">
        <f>IF(I233&gt;=90,"امتياز",IF(I233&gt;=80,"جيدجدا",IF(I233&gt;=70,"جيد",IF(I233&gt;=60,"متوسط ",IF(I233&gt;=50,"مقبول","ضعيف")))))</f>
        <v>مقبول</v>
      </c>
      <c r="N233" s="7">
        <v>23</v>
      </c>
      <c r="O233" s="7" t="s">
        <v>6</v>
      </c>
      <c r="P233" s="7">
        <v>39</v>
      </c>
      <c r="Q233" s="7">
        <v>57</v>
      </c>
      <c r="R233" s="16">
        <v>68.421000000000006</v>
      </c>
      <c r="S233" s="17"/>
      <c r="T233" s="17"/>
      <c r="U233" s="17"/>
    </row>
    <row r="234" spans="1:21" ht="24" customHeight="1" thickBot="1" x14ac:dyDescent="0.3">
      <c r="A234" s="6">
        <v>233</v>
      </c>
      <c r="B234" s="13" t="s">
        <v>66</v>
      </c>
      <c r="C234" s="15" t="s">
        <v>589</v>
      </c>
      <c r="D234" s="8" t="s">
        <v>67</v>
      </c>
      <c r="E234" s="9">
        <v>0</v>
      </c>
      <c r="F234" s="9">
        <v>0</v>
      </c>
      <c r="G234" s="9">
        <f>F234+E234</f>
        <v>0</v>
      </c>
      <c r="H234" s="9">
        <v>0</v>
      </c>
      <c r="I234" s="9">
        <f>H234+G234</f>
        <v>0</v>
      </c>
      <c r="J234" s="10" t="s">
        <v>359</v>
      </c>
      <c r="K234" s="10" t="s">
        <v>717</v>
      </c>
      <c r="L234" s="11" t="str">
        <f>IF(I234&gt;=50,"ناجح","راسب")</f>
        <v>راسب</v>
      </c>
      <c r="M234" s="11" t="str">
        <f>IF(I234&gt;=90,"امتياز",IF(I234&gt;=80,"جيدجدا",IF(I234&gt;=70,"جيد",IF(I234&gt;=60,"متوسط ",IF(I234&gt;=50,"مقبول","ضعيف")))))</f>
        <v>ضعيف</v>
      </c>
      <c r="N234" s="7"/>
      <c r="O234" s="7"/>
      <c r="P234" s="7">
        <v>39</v>
      </c>
      <c r="Q234" s="7">
        <v>57</v>
      </c>
      <c r="R234" s="16">
        <v>68.421000000000006</v>
      </c>
      <c r="S234" s="17"/>
      <c r="T234" s="17"/>
      <c r="U234" s="17"/>
    </row>
    <row r="235" spans="1:21" ht="24" customHeight="1" thickBot="1" x14ac:dyDescent="0.3">
      <c r="A235" s="6">
        <v>234</v>
      </c>
      <c r="B235" s="13" t="s">
        <v>242</v>
      </c>
      <c r="C235" s="15" t="s">
        <v>590</v>
      </c>
      <c r="D235" s="8" t="s">
        <v>295</v>
      </c>
      <c r="E235" s="9"/>
      <c r="F235" s="9"/>
      <c r="G235" s="9">
        <f>F235+E235</f>
        <v>0</v>
      </c>
      <c r="H235" s="9">
        <v>0</v>
      </c>
      <c r="I235" s="9">
        <f>H235+G235</f>
        <v>0</v>
      </c>
      <c r="J235" s="10" t="s">
        <v>359</v>
      </c>
      <c r="K235" s="10" t="s">
        <v>717</v>
      </c>
      <c r="L235" s="11" t="str">
        <f>IF(I235&gt;=50,"ناجح","راسب")</f>
        <v>راسب</v>
      </c>
      <c r="M235" s="11" t="str">
        <f>IF(I235&gt;=90,"امتياز",IF(I235&gt;=80,"جيدجدا",IF(I235&gt;=70,"جيد",IF(I235&gt;=60,"متوسط ",IF(I235&gt;=50,"مقبول","ضعيف")))))</f>
        <v>ضعيف</v>
      </c>
      <c r="N235" s="7"/>
      <c r="O235" s="7"/>
      <c r="P235" s="7"/>
      <c r="Q235" s="7"/>
      <c r="R235" s="17"/>
      <c r="S235" s="17"/>
      <c r="T235" s="17"/>
      <c r="U235" s="17"/>
    </row>
    <row r="236" spans="1:21" ht="24" customHeight="1" thickBot="1" x14ac:dyDescent="0.3">
      <c r="A236" s="6">
        <v>235</v>
      </c>
      <c r="B236" s="13" t="s">
        <v>243</v>
      </c>
      <c r="C236" s="15" t="s">
        <v>591</v>
      </c>
      <c r="D236" s="8" t="s">
        <v>295</v>
      </c>
      <c r="E236" s="9"/>
      <c r="F236" s="9"/>
      <c r="G236" s="9">
        <f>F236+E236</f>
        <v>0</v>
      </c>
      <c r="H236" s="9">
        <v>0</v>
      </c>
      <c r="I236" s="9">
        <f>H236+G236</f>
        <v>0</v>
      </c>
      <c r="J236" s="10" t="s">
        <v>359</v>
      </c>
      <c r="K236" s="10" t="s">
        <v>717</v>
      </c>
      <c r="L236" s="11" t="str">
        <f>IF(I236&gt;=50,"ناجح","راسب")</f>
        <v>راسب</v>
      </c>
      <c r="M236" s="11" t="str">
        <f>IF(I236&gt;=90,"امتياز",IF(I236&gt;=80,"جيدجدا",IF(I236&gt;=70,"جيد",IF(I236&gt;=60,"متوسط ",IF(I236&gt;=50,"مقبول","ضعيف")))))</f>
        <v>ضعيف</v>
      </c>
      <c r="N236" s="7"/>
      <c r="O236" s="7"/>
      <c r="P236" s="7"/>
      <c r="Q236" s="7"/>
      <c r="R236" s="17"/>
      <c r="S236" s="17"/>
      <c r="T236" s="17"/>
      <c r="U236" s="17"/>
    </row>
    <row r="237" spans="1:21" ht="24" customHeight="1" thickBot="1" x14ac:dyDescent="0.3">
      <c r="A237" s="6">
        <v>236</v>
      </c>
      <c r="B237" s="13" t="s">
        <v>244</v>
      </c>
      <c r="C237" s="15" t="s">
        <v>592</v>
      </c>
      <c r="D237" s="8" t="s">
        <v>295</v>
      </c>
      <c r="E237" s="9"/>
      <c r="F237" s="9"/>
      <c r="G237" s="9">
        <f>F237+E237</f>
        <v>0</v>
      </c>
      <c r="H237" s="9">
        <v>0</v>
      </c>
      <c r="I237" s="9">
        <f>H237+G237</f>
        <v>0</v>
      </c>
      <c r="J237" s="10" t="s">
        <v>359</v>
      </c>
      <c r="K237" s="10" t="s">
        <v>717</v>
      </c>
      <c r="L237" s="11" t="str">
        <f>IF(I237&gt;=50,"ناجح","راسب")</f>
        <v>راسب</v>
      </c>
      <c r="M237" s="11" t="str">
        <f>IF(I237&gt;=90,"امتياز",IF(I237&gt;=80,"جيدجدا",IF(I237&gt;=70,"جيد",IF(I237&gt;=60,"متوسط ",IF(I237&gt;=50,"مقبول","ضعيف")))))</f>
        <v>ضعيف</v>
      </c>
      <c r="N237" s="7"/>
      <c r="O237" s="7"/>
      <c r="P237" s="7"/>
      <c r="Q237" s="7"/>
      <c r="R237" s="17"/>
      <c r="S237" s="17"/>
      <c r="T237" s="17"/>
      <c r="U237" s="17"/>
    </row>
    <row r="238" spans="1:21" ht="24" customHeight="1" thickBot="1" x14ac:dyDescent="0.3">
      <c r="A238" s="6">
        <v>237</v>
      </c>
      <c r="B238" s="13" t="s">
        <v>245</v>
      </c>
      <c r="C238" s="15" t="s">
        <v>593</v>
      </c>
      <c r="D238" s="8" t="s">
        <v>295</v>
      </c>
      <c r="E238" s="9"/>
      <c r="F238" s="9"/>
      <c r="G238" s="9">
        <f>F238+E238</f>
        <v>0</v>
      </c>
      <c r="H238" s="9">
        <v>0</v>
      </c>
      <c r="I238" s="9">
        <f>H238+G238</f>
        <v>0</v>
      </c>
      <c r="J238" s="10" t="s">
        <v>359</v>
      </c>
      <c r="K238" s="10" t="s">
        <v>717</v>
      </c>
      <c r="L238" s="11" t="str">
        <f>IF(I238&gt;=50,"ناجح","راسب")</f>
        <v>راسب</v>
      </c>
      <c r="M238" s="11" t="str">
        <f>IF(I238&gt;=90,"امتياز",IF(I238&gt;=80,"جيدجدا",IF(I238&gt;=70,"جيد",IF(I238&gt;=60,"متوسط ",IF(I238&gt;=50,"مقبول","ضعيف")))))</f>
        <v>ضعيف</v>
      </c>
      <c r="N238" s="7"/>
      <c r="O238" s="7"/>
      <c r="P238" s="7"/>
      <c r="Q238" s="7"/>
      <c r="R238" s="17"/>
      <c r="S238" s="17"/>
      <c r="T238" s="17"/>
      <c r="U238" s="17"/>
    </row>
    <row r="239" spans="1:21" ht="24" customHeight="1" thickBot="1" x14ac:dyDescent="0.3">
      <c r="A239" s="6">
        <v>238</v>
      </c>
      <c r="B239" s="13" t="s">
        <v>246</v>
      </c>
      <c r="C239" s="15" t="s">
        <v>594</v>
      </c>
      <c r="D239" s="8" t="s">
        <v>295</v>
      </c>
      <c r="E239" s="9"/>
      <c r="F239" s="9"/>
      <c r="G239" s="9">
        <f>F239+E239</f>
        <v>0</v>
      </c>
      <c r="H239" s="9">
        <v>0</v>
      </c>
      <c r="I239" s="9">
        <f>H239+G239</f>
        <v>0</v>
      </c>
      <c r="J239" s="10" t="s">
        <v>359</v>
      </c>
      <c r="K239" s="10" t="s">
        <v>717</v>
      </c>
      <c r="L239" s="11" t="str">
        <f>IF(I239&gt;=50,"ناجح","راسب")</f>
        <v>راسب</v>
      </c>
      <c r="M239" s="11" t="str">
        <f>IF(I239&gt;=90,"امتياز",IF(I239&gt;=80,"جيدجدا",IF(I239&gt;=70,"جيد",IF(I239&gt;=60,"متوسط ",IF(I239&gt;=50,"مقبول","ضعيف")))))</f>
        <v>ضعيف</v>
      </c>
      <c r="N239" s="7"/>
      <c r="O239" s="7"/>
      <c r="P239" s="7"/>
      <c r="Q239" s="7"/>
      <c r="R239" s="17"/>
      <c r="S239" s="17"/>
      <c r="T239" s="17"/>
      <c r="U239" s="17"/>
    </row>
    <row r="240" spans="1:21" ht="24" customHeight="1" thickBot="1" x14ac:dyDescent="0.3">
      <c r="A240" s="6">
        <v>239</v>
      </c>
      <c r="B240" s="13" t="s">
        <v>247</v>
      </c>
      <c r="C240" s="15" t="s">
        <v>595</v>
      </c>
      <c r="D240" s="8" t="s">
        <v>295</v>
      </c>
      <c r="E240" s="9"/>
      <c r="F240" s="9"/>
      <c r="G240" s="9">
        <f>F240+E240</f>
        <v>0</v>
      </c>
      <c r="H240" s="9">
        <v>0</v>
      </c>
      <c r="I240" s="9">
        <f>H240+G240</f>
        <v>0</v>
      </c>
      <c r="J240" s="10" t="s">
        <v>359</v>
      </c>
      <c r="K240" s="10" t="s">
        <v>717</v>
      </c>
      <c r="L240" s="11" t="str">
        <f>IF(I240&gt;=50,"ناجح","راسب")</f>
        <v>راسب</v>
      </c>
      <c r="M240" s="11" t="str">
        <f>IF(I240&gt;=90,"امتياز",IF(I240&gt;=80,"جيدجدا",IF(I240&gt;=70,"جيد",IF(I240&gt;=60,"متوسط ",IF(I240&gt;=50,"مقبول","ضعيف")))))</f>
        <v>ضعيف</v>
      </c>
      <c r="N240" s="7"/>
      <c r="O240" s="7"/>
      <c r="P240" s="7"/>
      <c r="Q240" s="7"/>
      <c r="R240" s="17"/>
      <c r="S240" s="17"/>
      <c r="T240" s="17"/>
      <c r="U240" s="17"/>
    </row>
    <row r="241" spans="1:21" ht="24" customHeight="1" thickBot="1" x14ac:dyDescent="0.3">
      <c r="A241" s="6">
        <v>240</v>
      </c>
      <c r="B241" s="13" t="s">
        <v>248</v>
      </c>
      <c r="C241" s="15" t="s">
        <v>596</v>
      </c>
      <c r="D241" s="8" t="s">
        <v>295</v>
      </c>
      <c r="E241" s="9">
        <v>36</v>
      </c>
      <c r="F241" s="9">
        <v>0</v>
      </c>
      <c r="G241" s="9">
        <f>F241+E241</f>
        <v>36</v>
      </c>
      <c r="H241" s="9">
        <v>0</v>
      </c>
      <c r="I241" s="9">
        <f>H241+G241</f>
        <v>36</v>
      </c>
      <c r="J241" s="10" t="s">
        <v>359</v>
      </c>
      <c r="K241" s="10" t="s">
        <v>717</v>
      </c>
      <c r="L241" s="11" t="str">
        <f>IF(I241&gt;=50,"ناجح","راسب")</f>
        <v>راسب</v>
      </c>
      <c r="M241" s="11" t="str">
        <f>IF(I241&gt;=90,"امتياز",IF(I241&gt;=80,"جيدجدا",IF(I241&gt;=70,"جيد",IF(I241&gt;=60,"متوسط ",IF(I241&gt;=50,"مقبول","ضعيف")))))</f>
        <v>ضعيف</v>
      </c>
      <c r="N241" s="7"/>
      <c r="O241" s="7"/>
      <c r="P241" s="7"/>
      <c r="Q241" s="7"/>
      <c r="R241" s="17"/>
      <c r="S241" s="17"/>
      <c r="T241" s="17"/>
      <c r="U241" s="17"/>
    </row>
    <row r="242" spans="1:21" ht="24" customHeight="1" thickBot="1" x14ac:dyDescent="0.3">
      <c r="A242" s="6">
        <v>241</v>
      </c>
      <c r="B242" s="13" t="s">
        <v>249</v>
      </c>
      <c r="C242" s="15" t="s">
        <v>597</v>
      </c>
      <c r="D242" s="8" t="s">
        <v>295</v>
      </c>
      <c r="E242" s="9"/>
      <c r="F242" s="9"/>
      <c r="G242" s="9">
        <f>F242+E242</f>
        <v>0</v>
      </c>
      <c r="H242" s="9">
        <v>0</v>
      </c>
      <c r="I242" s="9">
        <f>H242+G242</f>
        <v>0</v>
      </c>
      <c r="J242" s="10" t="s">
        <v>359</v>
      </c>
      <c r="K242" s="10" t="s">
        <v>717</v>
      </c>
      <c r="L242" s="11" t="str">
        <f>IF(I242&gt;=50,"ناجح","راسب")</f>
        <v>راسب</v>
      </c>
      <c r="M242" s="11" t="str">
        <f>IF(I242&gt;=90,"امتياز",IF(I242&gt;=80,"جيدجدا",IF(I242&gt;=70,"جيد",IF(I242&gt;=60,"متوسط ",IF(I242&gt;=50,"مقبول","ضعيف")))))</f>
        <v>ضعيف</v>
      </c>
      <c r="N242" s="7"/>
      <c r="O242" s="7"/>
      <c r="P242" s="7"/>
      <c r="Q242" s="7"/>
      <c r="R242" s="17"/>
      <c r="S242" s="17"/>
      <c r="T242" s="17"/>
      <c r="U242" s="17"/>
    </row>
    <row r="243" spans="1:21" ht="24" customHeight="1" thickBot="1" x14ac:dyDescent="0.3">
      <c r="A243" s="6">
        <v>242</v>
      </c>
      <c r="B243" s="13" t="s">
        <v>250</v>
      </c>
      <c r="C243" s="15" t="s">
        <v>598</v>
      </c>
      <c r="D243" s="8" t="s">
        <v>295</v>
      </c>
      <c r="E243" s="9"/>
      <c r="F243" s="9"/>
      <c r="G243" s="9">
        <f>F243+E243</f>
        <v>0</v>
      </c>
      <c r="H243" s="9">
        <v>0</v>
      </c>
      <c r="I243" s="9">
        <f>H243+G243</f>
        <v>0</v>
      </c>
      <c r="J243" s="10" t="s">
        <v>359</v>
      </c>
      <c r="K243" s="10" t="s">
        <v>717</v>
      </c>
      <c r="L243" s="11" t="str">
        <f>IF(I243&gt;=50,"ناجح","راسب")</f>
        <v>راسب</v>
      </c>
      <c r="M243" s="11" t="str">
        <f>IF(I243&gt;=90,"امتياز",IF(I243&gt;=80,"جيدجدا",IF(I243&gt;=70,"جيد",IF(I243&gt;=60,"متوسط ",IF(I243&gt;=50,"مقبول","ضعيف")))))</f>
        <v>ضعيف</v>
      </c>
      <c r="N243" s="7"/>
      <c r="O243" s="7"/>
      <c r="P243" s="7"/>
      <c r="Q243" s="7"/>
      <c r="R243" s="17"/>
      <c r="S243" s="17"/>
      <c r="T243" s="17"/>
      <c r="U243" s="17"/>
    </row>
    <row r="244" spans="1:21" ht="24" customHeight="1" thickBot="1" x14ac:dyDescent="0.3">
      <c r="A244" s="6">
        <v>243</v>
      </c>
      <c r="B244" s="13" t="s">
        <v>251</v>
      </c>
      <c r="C244" s="15" t="s">
        <v>599</v>
      </c>
      <c r="D244" s="8" t="s">
        <v>295</v>
      </c>
      <c r="E244" s="9"/>
      <c r="F244" s="9"/>
      <c r="G244" s="9">
        <f>F244+E244</f>
        <v>0</v>
      </c>
      <c r="H244" s="9">
        <v>0</v>
      </c>
      <c r="I244" s="9">
        <f>H244+G244</f>
        <v>0</v>
      </c>
      <c r="J244" s="10" t="s">
        <v>359</v>
      </c>
      <c r="K244" s="10" t="s">
        <v>717</v>
      </c>
      <c r="L244" s="11" t="str">
        <f>IF(I244&gt;=50,"ناجح","راسب")</f>
        <v>راسب</v>
      </c>
      <c r="M244" s="11" t="str">
        <f>IF(I244&gt;=90,"امتياز",IF(I244&gt;=80,"جيدجدا",IF(I244&gt;=70,"جيد",IF(I244&gt;=60,"متوسط ",IF(I244&gt;=50,"مقبول","ضعيف")))))</f>
        <v>ضعيف</v>
      </c>
      <c r="N244" s="7"/>
      <c r="O244" s="7"/>
      <c r="P244" s="7"/>
      <c r="Q244" s="7"/>
      <c r="R244" s="17"/>
      <c r="S244" s="17"/>
      <c r="T244" s="17"/>
      <c r="U244" s="17"/>
    </row>
    <row r="245" spans="1:21" ht="24" customHeight="1" thickBot="1" x14ac:dyDescent="0.3">
      <c r="A245" s="6">
        <v>244</v>
      </c>
      <c r="B245" s="13" t="s">
        <v>252</v>
      </c>
      <c r="C245" s="15" t="s">
        <v>600</v>
      </c>
      <c r="D245" s="8" t="s">
        <v>295</v>
      </c>
      <c r="E245" s="9"/>
      <c r="F245" s="9"/>
      <c r="G245" s="9">
        <f>F245+E245</f>
        <v>0</v>
      </c>
      <c r="H245" s="9">
        <v>0</v>
      </c>
      <c r="I245" s="9">
        <f>H245+G245</f>
        <v>0</v>
      </c>
      <c r="J245" s="10" t="s">
        <v>359</v>
      </c>
      <c r="K245" s="10" t="s">
        <v>717</v>
      </c>
      <c r="L245" s="11" t="str">
        <f>IF(I245&gt;=50,"ناجح","راسب")</f>
        <v>راسب</v>
      </c>
      <c r="M245" s="11" t="str">
        <f>IF(I245&gt;=90,"امتياز",IF(I245&gt;=80,"جيدجدا",IF(I245&gt;=70,"جيد",IF(I245&gt;=60,"متوسط ",IF(I245&gt;=50,"مقبول","ضعيف")))))</f>
        <v>ضعيف</v>
      </c>
      <c r="N245" s="7"/>
      <c r="O245" s="7"/>
      <c r="P245" s="7"/>
      <c r="Q245" s="7"/>
      <c r="R245" s="17"/>
      <c r="S245" s="17"/>
      <c r="T245" s="17"/>
      <c r="U245" s="17"/>
    </row>
    <row r="246" spans="1:21" ht="24" customHeight="1" thickBot="1" x14ac:dyDescent="0.3">
      <c r="A246" s="6">
        <v>245</v>
      </c>
      <c r="B246" s="13" t="s">
        <v>253</v>
      </c>
      <c r="C246" s="15" t="s">
        <v>601</v>
      </c>
      <c r="D246" s="8" t="s">
        <v>295</v>
      </c>
      <c r="E246" s="9"/>
      <c r="F246" s="9"/>
      <c r="G246" s="9">
        <f>F246+E246</f>
        <v>0</v>
      </c>
      <c r="H246" s="9">
        <v>0</v>
      </c>
      <c r="I246" s="9">
        <f>H246+G246</f>
        <v>0</v>
      </c>
      <c r="J246" s="10" t="s">
        <v>359</v>
      </c>
      <c r="K246" s="10" t="s">
        <v>717</v>
      </c>
      <c r="L246" s="11" t="str">
        <f>IF(I246&gt;=50,"ناجح","راسب")</f>
        <v>راسب</v>
      </c>
      <c r="M246" s="11" t="str">
        <f>IF(I246&gt;=90,"امتياز",IF(I246&gt;=80,"جيدجدا",IF(I246&gt;=70,"جيد",IF(I246&gt;=60,"متوسط ",IF(I246&gt;=50,"مقبول","ضعيف")))))</f>
        <v>ضعيف</v>
      </c>
      <c r="N246" s="7"/>
      <c r="O246" s="7"/>
      <c r="P246" s="7"/>
      <c r="Q246" s="7"/>
      <c r="R246" s="17"/>
      <c r="S246" s="17"/>
      <c r="T246" s="17"/>
      <c r="U246" s="17"/>
    </row>
    <row r="247" spans="1:21" ht="24" customHeight="1" thickBot="1" x14ac:dyDescent="0.3">
      <c r="A247" s="6">
        <v>246</v>
      </c>
      <c r="B247" s="13" t="s">
        <v>254</v>
      </c>
      <c r="C247" s="15" t="s">
        <v>602</v>
      </c>
      <c r="D247" s="8" t="s">
        <v>295</v>
      </c>
      <c r="E247" s="9"/>
      <c r="F247" s="9"/>
      <c r="G247" s="9">
        <f>F247+E247</f>
        <v>0</v>
      </c>
      <c r="H247" s="9">
        <v>0</v>
      </c>
      <c r="I247" s="9">
        <f>H247+G247</f>
        <v>0</v>
      </c>
      <c r="J247" s="10" t="s">
        <v>359</v>
      </c>
      <c r="K247" s="10" t="s">
        <v>717</v>
      </c>
      <c r="L247" s="11" t="str">
        <f>IF(I247&gt;=50,"ناجح","راسب")</f>
        <v>راسب</v>
      </c>
      <c r="M247" s="11" t="str">
        <f>IF(I247&gt;=90,"امتياز",IF(I247&gt;=80,"جيدجدا",IF(I247&gt;=70,"جيد",IF(I247&gt;=60,"متوسط ",IF(I247&gt;=50,"مقبول","ضعيف")))))</f>
        <v>ضعيف</v>
      </c>
      <c r="N247" s="7"/>
      <c r="O247" s="7"/>
      <c r="P247" s="7"/>
      <c r="Q247" s="7"/>
      <c r="R247" s="17"/>
      <c r="S247" s="17"/>
      <c r="T247" s="17"/>
      <c r="U247" s="17"/>
    </row>
    <row r="248" spans="1:21" ht="24" customHeight="1" thickBot="1" x14ac:dyDescent="0.3">
      <c r="A248" s="6">
        <v>247</v>
      </c>
      <c r="B248" s="13" t="s">
        <v>255</v>
      </c>
      <c r="C248" s="15" t="s">
        <v>603</v>
      </c>
      <c r="D248" s="8" t="s">
        <v>295</v>
      </c>
      <c r="E248" s="9"/>
      <c r="F248" s="9"/>
      <c r="G248" s="9">
        <f>F248+E248</f>
        <v>0</v>
      </c>
      <c r="H248" s="9">
        <v>0</v>
      </c>
      <c r="I248" s="9">
        <f>H248+G248</f>
        <v>0</v>
      </c>
      <c r="J248" s="10" t="s">
        <v>359</v>
      </c>
      <c r="K248" s="10" t="s">
        <v>717</v>
      </c>
      <c r="L248" s="11" t="str">
        <f>IF(I248&gt;=50,"ناجح","راسب")</f>
        <v>راسب</v>
      </c>
      <c r="M248" s="11" t="str">
        <f>IF(I248&gt;=90,"امتياز",IF(I248&gt;=80,"جيدجدا",IF(I248&gt;=70,"جيد",IF(I248&gt;=60,"متوسط ",IF(I248&gt;=50,"مقبول","ضعيف")))))</f>
        <v>ضعيف</v>
      </c>
      <c r="N248" s="7"/>
      <c r="O248" s="7"/>
      <c r="P248" s="7"/>
      <c r="Q248" s="7"/>
      <c r="R248" s="17"/>
      <c r="S248" s="17"/>
      <c r="T248" s="17"/>
      <c r="U248" s="17"/>
    </row>
    <row r="249" spans="1:21" ht="24" customHeight="1" thickBot="1" x14ac:dyDescent="0.3">
      <c r="A249" s="6">
        <v>248</v>
      </c>
      <c r="B249" s="13" t="s">
        <v>256</v>
      </c>
      <c r="C249" s="15" t="s">
        <v>604</v>
      </c>
      <c r="D249" s="8" t="s">
        <v>295</v>
      </c>
      <c r="E249" s="9"/>
      <c r="F249" s="9"/>
      <c r="G249" s="9">
        <f>F249+E249</f>
        <v>0</v>
      </c>
      <c r="H249" s="9">
        <v>0</v>
      </c>
      <c r="I249" s="9">
        <f>H249+G249</f>
        <v>0</v>
      </c>
      <c r="J249" s="10" t="s">
        <v>359</v>
      </c>
      <c r="K249" s="10" t="s">
        <v>717</v>
      </c>
      <c r="L249" s="11" t="str">
        <f>IF(I249&gt;=50,"ناجح","راسب")</f>
        <v>راسب</v>
      </c>
      <c r="M249" s="11" t="str">
        <f>IF(I249&gt;=90,"امتياز",IF(I249&gt;=80,"جيدجدا",IF(I249&gt;=70,"جيد",IF(I249&gt;=60,"متوسط ",IF(I249&gt;=50,"مقبول","ضعيف")))))</f>
        <v>ضعيف</v>
      </c>
      <c r="N249" s="7"/>
      <c r="O249" s="7"/>
      <c r="P249" s="7"/>
      <c r="Q249" s="7"/>
      <c r="R249" s="17"/>
      <c r="S249" s="17"/>
      <c r="T249" s="17"/>
      <c r="U249" s="17"/>
    </row>
    <row r="250" spans="1:21" ht="24" customHeight="1" thickBot="1" x14ac:dyDescent="0.3">
      <c r="A250" s="6">
        <v>249</v>
      </c>
      <c r="B250" s="13" t="s">
        <v>257</v>
      </c>
      <c r="C250" s="15" t="s">
        <v>605</v>
      </c>
      <c r="D250" s="8" t="s">
        <v>295</v>
      </c>
      <c r="E250" s="9"/>
      <c r="F250" s="9"/>
      <c r="G250" s="9">
        <f>F250+E250</f>
        <v>0</v>
      </c>
      <c r="H250" s="9">
        <v>0</v>
      </c>
      <c r="I250" s="9">
        <f>H250+G250</f>
        <v>0</v>
      </c>
      <c r="J250" s="10" t="s">
        <v>359</v>
      </c>
      <c r="K250" s="10" t="s">
        <v>717</v>
      </c>
      <c r="L250" s="11" t="str">
        <f>IF(I250&gt;=50,"ناجح","راسب")</f>
        <v>راسب</v>
      </c>
      <c r="M250" s="11" t="str">
        <f>IF(I250&gt;=90,"امتياز",IF(I250&gt;=80,"جيدجدا",IF(I250&gt;=70,"جيد",IF(I250&gt;=60,"متوسط ",IF(I250&gt;=50,"مقبول","ضعيف")))))</f>
        <v>ضعيف</v>
      </c>
      <c r="N250" s="7"/>
      <c r="O250" s="7"/>
      <c r="P250" s="7"/>
      <c r="Q250" s="7"/>
      <c r="R250" s="17"/>
      <c r="S250" s="17"/>
      <c r="T250" s="17"/>
      <c r="U250" s="17"/>
    </row>
    <row r="251" spans="1:21" ht="24" customHeight="1" thickBot="1" x14ac:dyDescent="0.3">
      <c r="A251" s="6">
        <v>250</v>
      </c>
      <c r="B251" s="13" t="s">
        <v>258</v>
      </c>
      <c r="C251" s="15" t="s">
        <v>606</v>
      </c>
      <c r="D251" s="8" t="s">
        <v>295</v>
      </c>
      <c r="E251" s="9"/>
      <c r="F251" s="9"/>
      <c r="G251" s="9">
        <f>F251+E251</f>
        <v>0</v>
      </c>
      <c r="H251" s="9">
        <v>0</v>
      </c>
      <c r="I251" s="9">
        <f>H251+G251</f>
        <v>0</v>
      </c>
      <c r="J251" s="10" t="s">
        <v>359</v>
      </c>
      <c r="K251" s="10" t="s">
        <v>717</v>
      </c>
      <c r="L251" s="11" t="str">
        <f>IF(I251&gt;=50,"ناجح","راسب")</f>
        <v>راسب</v>
      </c>
      <c r="M251" s="11" t="str">
        <f>IF(I251&gt;=90,"امتياز",IF(I251&gt;=80,"جيدجدا",IF(I251&gt;=70,"جيد",IF(I251&gt;=60,"متوسط ",IF(I251&gt;=50,"مقبول","ضعيف")))))</f>
        <v>ضعيف</v>
      </c>
      <c r="N251" s="7"/>
      <c r="O251" s="7"/>
      <c r="P251" s="7"/>
      <c r="Q251" s="7"/>
      <c r="R251" s="17"/>
      <c r="S251" s="17"/>
      <c r="T251" s="17"/>
      <c r="U251" s="17"/>
    </row>
    <row r="252" spans="1:21" ht="24" customHeight="1" thickBot="1" x14ac:dyDescent="0.3">
      <c r="A252" s="6">
        <v>251</v>
      </c>
      <c r="B252" s="13" t="s">
        <v>259</v>
      </c>
      <c r="C252" s="15" t="s">
        <v>607</v>
      </c>
      <c r="D252" s="8" t="s">
        <v>295</v>
      </c>
      <c r="E252" s="9"/>
      <c r="F252" s="9"/>
      <c r="G252" s="9">
        <f>F252+E252</f>
        <v>0</v>
      </c>
      <c r="H252" s="9">
        <v>0</v>
      </c>
      <c r="I252" s="9">
        <f>H252+G252</f>
        <v>0</v>
      </c>
      <c r="J252" s="10" t="s">
        <v>359</v>
      </c>
      <c r="K252" s="10" t="s">
        <v>717</v>
      </c>
      <c r="L252" s="11" t="str">
        <f>IF(I252&gt;=50,"ناجح","راسب")</f>
        <v>راسب</v>
      </c>
      <c r="M252" s="11" t="str">
        <f>IF(I252&gt;=90,"امتياز",IF(I252&gt;=80,"جيدجدا",IF(I252&gt;=70,"جيد",IF(I252&gt;=60,"متوسط ",IF(I252&gt;=50,"مقبول","ضعيف")))))</f>
        <v>ضعيف</v>
      </c>
      <c r="N252" s="7"/>
      <c r="O252" s="7"/>
      <c r="P252" s="7"/>
      <c r="Q252" s="7"/>
      <c r="R252" s="17"/>
      <c r="S252" s="17"/>
      <c r="T252" s="17"/>
      <c r="U252" s="17"/>
    </row>
    <row r="253" spans="1:21" ht="24" customHeight="1" thickBot="1" x14ac:dyDescent="0.3">
      <c r="A253" s="6">
        <v>252</v>
      </c>
      <c r="B253" s="13" t="s">
        <v>260</v>
      </c>
      <c r="C253" s="15" t="s">
        <v>608</v>
      </c>
      <c r="D253" s="8" t="s">
        <v>295</v>
      </c>
      <c r="E253" s="9"/>
      <c r="F253" s="9"/>
      <c r="G253" s="9">
        <f>F253+E253</f>
        <v>0</v>
      </c>
      <c r="H253" s="9">
        <v>0</v>
      </c>
      <c r="I253" s="9">
        <f>H253+G253</f>
        <v>0</v>
      </c>
      <c r="J253" s="10" t="s">
        <v>359</v>
      </c>
      <c r="K253" s="10" t="s">
        <v>717</v>
      </c>
      <c r="L253" s="11" t="str">
        <f>IF(I253&gt;=50,"ناجح","راسب")</f>
        <v>راسب</v>
      </c>
      <c r="M253" s="11" t="str">
        <f>IF(I253&gt;=90,"امتياز",IF(I253&gt;=80,"جيدجدا",IF(I253&gt;=70,"جيد",IF(I253&gt;=60,"متوسط ",IF(I253&gt;=50,"مقبول","ضعيف")))))</f>
        <v>ضعيف</v>
      </c>
      <c r="N253" s="7"/>
      <c r="O253" s="7"/>
      <c r="P253" s="7"/>
      <c r="Q253" s="7"/>
      <c r="R253" s="17"/>
      <c r="S253" s="17"/>
      <c r="T253" s="17"/>
      <c r="U253" s="17"/>
    </row>
    <row r="254" spans="1:21" ht="24" customHeight="1" thickBot="1" x14ac:dyDescent="0.3">
      <c r="A254" s="6">
        <v>253</v>
      </c>
      <c r="B254" s="13" t="s">
        <v>261</v>
      </c>
      <c r="C254" s="15" t="s">
        <v>609</v>
      </c>
      <c r="D254" s="8" t="s">
        <v>295</v>
      </c>
      <c r="E254" s="9"/>
      <c r="F254" s="9"/>
      <c r="G254" s="9">
        <f>F254+E254</f>
        <v>0</v>
      </c>
      <c r="H254" s="9">
        <v>0</v>
      </c>
      <c r="I254" s="9">
        <f>H254+G254</f>
        <v>0</v>
      </c>
      <c r="J254" s="10" t="s">
        <v>359</v>
      </c>
      <c r="K254" s="10" t="s">
        <v>717</v>
      </c>
      <c r="L254" s="11" t="str">
        <f>IF(I254&gt;=50,"ناجح","راسب")</f>
        <v>راسب</v>
      </c>
      <c r="M254" s="11" t="str">
        <f>IF(I254&gt;=90,"امتياز",IF(I254&gt;=80,"جيدجدا",IF(I254&gt;=70,"جيد",IF(I254&gt;=60,"متوسط ",IF(I254&gt;=50,"مقبول","ضعيف")))))</f>
        <v>ضعيف</v>
      </c>
      <c r="N254" s="7"/>
      <c r="O254" s="7"/>
      <c r="P254" s="7"/>
      <c r="Q254" s="7"/>
      <c r="R254" s="17"/>
      <c r="S254" s="17"/>
      <c r="T254" s="17"/>
      <c r="U254" s="17"/>
    </row>
    <row r="255" spans="1:21" ht="24" customHeight="1" thickBot="1" x14ac:dyDescent="0.3">
      <c r="A255" s="6">
        <v>254</v>
      </c>
      <c r="B255" s="13" t="s">
        <v>262</v>
      </c>
      <c r="C255" s="15" t="s">
        <v>610</v>
      </c>
      <c r="D255" s="8" t="s">
        <v>295</v>
      </c>
      <c r="E255" s="9"/>
      <c r="F255" s="9"/>
      <c r="G255" s="9">
        <f>F255+E255</f>
        <v>0</v>
      </c>
      <c r="H255" s="9">
        <v>0</v>
      </c>
      <c r="I255" s="9">
        <f>H255+G255</f>
        <v>0</v>
      </c>
      <c r="J255" s="10" t="s">
        <v>359</v>
      </c>
      <c r="K255" s="10" t="s">
        <v>717</v>
      </c>
      <c r="L255" s="11" t="str">
        <f>IF(I255&gt;=50,"ناجح","راسب")</f>
        <v>راسب</v>
      </c>
      <c r="M255" s="11" t="str">
        <f>IF(I255&gt;=90,"امتياز",IF(I255&gt;=80,"جيدجدا",IF(I255&gt;=70,"جيد",IF(I255&gt;=60,"متوسط ",IF(I255&gt;=50,"مقبول","ضعيف")))))</f>
        <v>ضعيف</v>
      </c>
      <c r="N255" s="7"/>
      <c r="O255" s="7"/>
      <c r="P255" s="7"/>
      <c r="Q255" s="7"/>
      <c r="R255" s="17"/>
      <c r="S255" s="17"/>
      <c r="T255" s="17"/>
      <c r="U255" s="17"/>
    </row>
    <row r="256" spans="1:21" ht="24" customHeight="1" thickBot="1" x14ac:dyDescent="0.3">
      <c r="A256" s="6">
        <v>255</v>
      </c>
      <c r="B256" s="13" t="s">
        <v>263</v>
      </c>
      <c r="C256" s="15" t="s">
        <v>611</v>
      </c>
      <c r="D256" s="8" t="s">
        <v>295</v>
      </c>
      <c r="E256" s="9"/>
      <c r="F256" s="9"/>
      <c r="G256" s="9">
        <f>F256+E256</f>
        <v>0</v>
      </c>
      <c r="H256" s="9">
        <v>0</v>
      </c>
      <c r="I256" s="9">
        <f>H256+G256</f>
        <v>0</v>
      </c>
      <c r="J256" s="10" t="s">
        <v>359</v>
      </c>
      <c r="K256" s="10" t="s">
        <v>717</v>
      </c>
      <c r="L256" s="11" t="str">
        <f>IF(I256&gt;=50,"ناجح","راسب")</f>
        <v>راسب</v>
      </c>
      <c r="M256" s="11" t="str">
        <f>IF(I256&gt;=90,"امتياز",IF(I256&gt;=80,"جيدجدا",IF(I256&gt;=70,"جيد",IF(I256&gt;=60,"متوسط ",IF(I256&gt;=50,"مقبول","ضعيف")))))</f>
        <v>ضعيف</v>
      </c>
      <c r="N256" s="7"/>
      <c r="O256" s="7"/>
      <c r="P256" s="7"/>
      <c r="Q256" s="7"/>
      <c r="R256" s="17"/>
      <c r="S256" s="17"/>
      <c r="T256" s="17"/>
      <c r="U256" s="17"/>
    </row>
    <row r="257" spans="1:21" ht="24" customHeight="1" thickBot="1" x14ac:dyDescent="0.3">
      <c r="A257" s="6">
        <v>256</v>
      </c>
      <c r="B257" s="13" t="s">
        <v>264</v>
      </c>
      <c r="C257" s="15" t="s">
        <v>612</v>
      </c>
      <c r="D257" s="8" t="s">
        <v>295</v>
      </c>
      <c r="E257" s="9"/>
      <c r="F257" s="9"/>
      <c r="G257" s="9">
        <f>F257+E257</f>
        <v>0</v>
      </c>
      <c r="H257" s="9">
        <v>0</v>
      </c>
      <c r="I257" s="9">
        <f>H257+G257</f>
        <v>0</v>
      </c>
      <c r="J257" s="10" t="s">
        <v>359</v>
      </c>
      <c r="K257" s="10" t="s">
        <v>717</v>
      </c>
      <c r="L257" s="11" t="str">
        <f>IF(I257&gt;=50,"ناجح","راسب")</f>
        <v>راسب</v>
      </c>
      <c r="M257" s="11" t="str">
        <f>IF(I257&gt;=90,"امتياز",IF(I257&gt;=80,"جيدجدا",IF(I257&gt;=70,"جيد",IF(I257&gt;=60,"متوسط ",IF(I257&gt;=50,"مقبول","ضعيف")))))</f>
        <v>ضعيف</v>
      </c>
      <c r="N257" s="7"/>
      <c r="O257" s="7"/>
      <c r="P257" s="7"/>
      <c r="Q257" s="7"/>
      <c r="R257" s="17"/>
      <c r="S257" s="17"/>
      <c r="T257" s="17"/>
      <c r="U257" s="17"/>
    </row>
    <row r="258" spans="1:21" ht="24" customHeight="1" thickBot="1" x14ac:dyDescent="0.3">
      <c r="A258" s="6">
        <v>257</v>
      </c>
      <c r="B258" s="13" t="s">
        <v>265</v>
      </c>
      <c r="C258" s="15" t="s">
        <v>613</v>
      </c>
      <c r="D258" s="8" t="s">
        <v>295</v>
      </c>
      <c r="E258" s="9">
        <v>44</v>
      </c>
      <c r="F258" s="9">
        <v>0</v>
      </c>
      <c r="G258" s="9">
        <f>F258+E258</f>
        <v>44</v>
      </c>
      <c r="H258" s="9">
        <v>0</v>
      </c>
      <c r="I258" s="9">
        <f>H258+G258</f>
        <v>44</v>
      </c>
      <c r="J258" s="10" t="s">
        <v>359</v>
      </c>
      <c r="K258" s="10" t="s">
        <v>717</v>
      </c>
      <c r="L258" s="11" t="str">
        <f>IF(I258&gt;=50,"ناجح","راسب")</f>
        <v>راسب</v>
      </c>
      <c r="M258" s="11" t="str">
        <f>IF(I258&gt;=90,"امتياز",IF(I258&gt;=80,"جيدجدا",IF(I258&gt;=70,"جيد",IF(I258&gt;=60,"متوسط ",IF(I258&gt;=50,"مقبول","ضعيف")))))</f>
        <v>ضعيف</v>
      </c>
      <c r="N258" s="7"/>
      <c r="O258" s="7"/>
      <c r="P258" s="7"/>
      <c r="Q258" s="7"/>
      <c r="R258" s="17"/>
      <c r="S258" s="17"/>
      <c r="T258" s="17"/>
      <c r="U258" s="17"/>
    </row>
    <row r="259" spans="1:21" ht="24" customHeight="1" thickBot="1" x14ac:dyDescent="0.3">
      <c r="A259" s="6">
        <v>258</v>
      </c>
      <c r="B259" s="13" t="s">
        <v>266</v>
      </c>
      <c r="C259" s="15" t="s">
        <v>614</v>
      </c>
      <c r="D259" s="8" t="s">
        <v>295</v>
      </c>
      <c r="E259" s="9"/>
      <c r="F259" s="9"/>
      <c r="G259" s="9">
        <f>F259+E259</f>
        <v>0</v>
      </c>
      <c r="H259" s="9">
        <v>0</v>
      </c>
      <c r="I259" s="9">
        <f>H259+G259</f>
        <v>0</v>
      </c>
      <c r="J259" s="10" t="s">
        <v>359</v>
      </c>
      <c r="K259" s="10" t="s">
        <v>717</v>
      </c>
      <c r="L259" s="11" t="str">
        <f>IF(I259&gt;=50,"ناجح","راسب")</f>
        <v>راسب</v>
      </c>
      <c r="M259" s="11" t="str">
        <f>IF(I259&gt;=90,"امتياز",IF(I259&gt;=80,"جيدجدا",IF(I259&gt;=70,"جيد",IF(I259&gt;=60,"متوسط ",IF(I259&gt;=50,"مقبول","ضعيف")))))</f>
        <v>ضعيف</v>
      </c>
      <c r="N259" s="7"/>
      <c r="O259" s="7"/>
      <c r="P259" s="7"/>
      <c r="Q259" s="7"/>
      <c r="R259" s="17"/>
      <c r="S259" s="17"/>
      <c r="T259" s="17"/>
      <c r="U259" s="17"/>
    </row>
    <row r="260" spans="1:21" ht="24" customHeight="1" thickBot="1" x14ac:dyDescent="0.3">
      <c r="A260" s="6">
        <v>259</v>
      </c>
      <c r="B260" s="13" t="s">
        <v>267</v>
      </c>
      <c r="C260" s="15" t="s">
        <v>615</v>
      </c>
      <c r="D260" s="8" t="s">
        <v>295</v>
      </c>
      <c r="E260" s="9">
        <v>44</v>
      </c>
      <c r="F260" s="9">
        <v>0</v>
      </c>
      <c r="G260" s="9">
        <f>F260+E260</f>
        <v>44</v>
      </c>
      <c r="H260" s="9">
        <v>0</v>
      </c>
      <c r="I260" s="9">
        <f>H260+G260</f>
        <v>44</v>
      </c>
      <c r="J260" s="10" t="s">
        <v>359</v>
      </c>
      <c r="K260" s="10" t="s">
        <v>717</v>
      </c>
      <c r="L260" s="11" t="str">
        <f>IF(I260&gt;=50,"ناجح","راسب")</f>
        <v>راسب</v>
      </c>
      <c r="M260" s="11" t="str">
        <f>IF(I260&gt;=90,"امتياز",IF(I260&gt;=80,"جيدجدا",IF(I260&gt;=70,"جيد",IF(I260&gt;=60,"متوسط ",IF(I260&gt;=50,"مقبول","ضعيف")))))</f>
        <v>ضعيف</v>
      </c>
      <c r="N260" s="7"/>
      <c r="O260" s="7"/>
      <c r="P260" s="7"/>
      <c r="Q260" s="7"/>
      <c r="R260" s="17"/>
      <c r="S260" s="17"/>
      <c r="T260" s="17"/>
      <c r="U260" s="17"/>
    </row>
    <row r="261" spans="1:21" ht="24" customHeight="1" thickBot="1" x14ac:dyDescent="0.3">
      <c r="A261" s="6">
        <v>260</v>
      </c>
      <c r="B261" s="13" t="s">
        <v>268</v>
      </c>
      <c r="C261" s="15" t="s">
        <v>616</v>
      </c>
      <c r="D261" s="8" t="s">
        <v>295</v>
      </c>
      <c r="E261" s="9"/>
      <c r="F261" s="9"/>
      <c r="G261" s="9">
        <f>F261+E261</f>
        <v>0</v>
      </c>
      <c r="H261" s="9">
        <v>0</v>
      </c>
      <c r="I261" s="9">
        <f>H261+G261</f>
        <v>0</v>
      </c>
      <c r="J261" s="10" t="s">
        <v>359</v>
      </c>
      <c r="K261" s="10" t="s">
        <v>717</v>
      </c>
      <c r="L261" s="11" t="str">
        <f>IF(I261&gt;=50,"ناجح","راسب")</f>
        <v>راسب</v>
      </c>
      <c r="M261" s="11" t="str">
        <f>IF(I261&gt;=90,"امتياز",IF(I261&gt;=80,"جيدجدا",IF(I261&gt;=70,"جيد",IF(I261&gt;=60,"متوسط ",IF(I261&gt;=50,"مقبول","ضعيف")))))</f>
        <v>ضعيف</v>
      </c>
      <c r="N261" s="7"/>
      <c r="O261" s="7"/>
      <c r="P261" s="7"/>
      <c r="Q261" s="7"/>
      <c r="R261" s="17"/>
      <c r="S261" s="17"/>
      <c r="T261" s="17"/>
      <c r="U261" s="17"/>
    </row>
    <row r="262" spans="1:21" ht="24" customHeight="1" thickBot="1" x14ac:dyDescent="0.3">
      <c r="A262" s="6">
        <v>261</v>
      </c>
      <c r="B262" s="13" t="s">
        <v>269</v>
      </c>
      <c r="C262" s="15" t="s">
        <v>617</v>
      </c>
      <c r="D262" s="8" t="s">
        <v>295</v>
      </c>
      <c r="E262" s="9"/>
      <c r="F262" s="9"/>
      <c r="G262" s="9">
        <f>F262+E262</f>
        <v>0</v>
      </c>
      <c r="H262" s="9">
        <v>0</v>
      </c>
      <c r="I262" s="9">
        <f>H262+G262</f>
        <v>0</v>
      </c>
      <c r="J262" s="10" t="s">
        <v>359</v>
      </c>
      <c r="K262" s="10" t="s">
        <v>717</v>
      </c>
      <c r="L262" s="11" t="str">
        <f>IF(I262&gt;=50,"ناجح","راسب")</f>
        <v>راسب</v>
      </c>
      <c r="M262" s="11" t="str">
        <f>IF(I262&gt;=90,"امتياز",IF(I262&gt;=80,"جيدجدا",IF(I262&gt;=70,"جيد",IF(I262&gt;=60,"متوسط ",IF(I262&gt;=50,"مقبول","ضعيف")))))</f>
        <v>ضعيف</v>
      </c>
      <c r="N262" s="7"/>
      <c r="O262" s="7"/>
      <c r="P262" s="7"/>
      <c r="Q262" s="7"/>
      <c r="R262" s="17"/>
      <c r="S262" s="17"/>
      <c r="T262" s="17"/>
      <c r="U262" s="17"/>
    </row>
    <row r="263" spans="1:21" ht="24" customHeight="1" thickBot="1" x14ac:dyDescent="0.3">
      <c r="A263" s="6">
        <v>262</v>
      </c>
      <c r="B263" s="13" t="s">
        <v>270</v>
      </c>
      <c r="C263" s="15" t="s">
        <v>618</v>
      </c>
      <c r="D263" s="8" t="s">
        <v>295</v>
      </c>
      <c r="E263" s="9"/>
      <c r="F263" s="9"/>
      <c r="G263" s="9">
        <f>F263+E263</f>
        <v>0</v>
      </c>
      <c r="H263" s="9">
        <v>0</v>
      </c>
      <c r="I263" s="9">
        <f>H263+G263</f>
        <v>0</v>
      </c>
      <c r="J263" s="10" t="s">
        <v>359</v>
      </c>
      <c r="K263" s="10" t="s">
        <v>717</v>
      </c>
      <c r="L263" s="11" t="str">
        <f>IF(I263&gt;=50,"ناجح","راسب")</f>
        <v>راسب</v>
      </c>
      <c r="M263" s="11" t="str">
        <f>IF(I263&gt;=90,"امتياز",IF(I263&gt;=80,"جيدجدا",IF(I263&gt;=70,"جيد",IF(I263&gt;=60,"متوسط ",IF(I263&gt;=50,"مقبول","ضعيف")))))</f>
        <v>ضعيف</v>
      </c>
      <c r="N263" s="7"/>
      <c r="O263" s="7"/>
      <c r="P263" s="7"/>
      <c r="Q263" s="7"/>
      <c r="R263" s="17"/>
      <c r="S263" s="17"/>
      <c r="T263" s="17"/>
      <c r="U263" s="17"/>
    </row>
    <row r="264" spans="1:21" ht="24" customHeight="1" thickBot="1" x14ac:dyDescent="0.3">
      <c r="A264" s="6">
        <v>263</v>
      </c>
      <c r="B264" s="13" t="s">
        <v>271</v>
      </c>
      <c r="C264" s="15" t="s">
        <v>619</v>
      </c>
      <c r="D264" s="8" t="s">
        <v>295</v>
      </c>
      <c r="E264" s="9"/>
      <c r="F264" s="9"/>
      <c r="G264" s="9">
        <f>F264+E264</f>
        <v>0</v>
      </c>
      <c r="H264" s="9">
        <v>0</v>
      </c>
      <c r="I264" s="9">
        <f>H264+G264</f>
        <v>0</v>
      </c>
      <c r="J264" s="10" t="s">
        <v>359</v>
      </c>
      <c r="K264" s="10" t="s">
        <v>717</v>
      </c>
      <c r="L264" s="11" t="str">
        <f>IF(I264&gt;=50,"ناجح","راسب")</f>
        <v>راسب</v>
      </c>
      <c r="M264" s="11" t="str">
        <f>IF(I264&gt;=90,"امتياز",IF(I264&gt;=80,"جيدجدا",IF(I264&gt;=70,"جيد",IF(I264&gt;=60,"متوسط ",IF(I264&gt;=50,"مقبول","ضعيف")))))</f>
        <v>ضعيف</v>
      </c>
      <c r="N264" s="7"/>
      <c r="O264" s="7"/>
      <c r="P264" s="7"/>
      <c r="Q264" s="7"/>
      <c r="R264" s="17"/>
      <c r="S264" s="17"/>
      <c r="T264" s="17"/>
      <c r="U264" s="17"/>
    </row>
    <row r="265" spans="1:21" ht="24" customHeight="1" thickBot="1" x14ac:dyDescent="0.3">
      <c r="A265" s="6">
        <v>264</v>
      </c>
      <c r="B265" s="13" t="s">
        <v>272</v>
      </c>
      <c r="C265" s="15" t="s">
        <v>620</v>
      </c>
      <c r="D265" s="8" t="s">
        <v>295</v>
      </c>
      <c r="E265" s="9"/>
      <c r="F265" s="9"/>
      <c r="G265" s="9">
        <f>F265+E265</f>
        <v>0</v>
      </c>
      <c r="H265" s="9">
        <v>0</v>
      </c>
      <c r="I265" s="9">
        <f>H265+G265</f>
        <v>0</v>
      </c>
      <c r="J265" s="10" t="s">
        <v>359</v>
      </c>
      <c r="K265" s="10" t="s">
        <v>717</v>
      </c>
      <c r="L265" s="11" t="str">
        <f>IF(I265&gt;=50,"ناجح","راسب")</f>
        <v>راسب</v>
      </c>
      <c r="M265" s="11" t="str">
        <f>IF(I265&gt;=90,"امتياز",IF(I265&gt;=80,"جيدجدا",IF(I265&gt;=70,"جيد",IF(I265&gt;=60,"متوسط ",IF(I265&gt;=50,"مقبول","ضعيف")))))</f>
        <v>ضعيف</v>
      </c>
      <c r="N265" s="7"/>
      <c r="O265" s="7"/>
      <c r="P265" s="7"/>
      <c r="Q265" s="7"/>
      <c r="R265" s="17"/>
      <c r="S265" s="17"/>
      <c r="T265" s="17"/>
      <c r="U265" s="17"/>
    </row>
    <row r="266" spans="1:21" ht="24" customHeight="1" thickBot="1" x14ac:dyDescent="0.3">
      <c r="A266" s="6">
        <v>265</v>
      </c>
      <c r="B266" s="13" t="s">
        <v>273</v>
      </c>
      <c r="C266" s="15" t="s">
        <v>621</v>
      </c>
      <c r="D266" s="8" t="s">
        <v>295</v>
      </c>
      <c r="E266" s="9"/>
      <c r="F266" s="9"/>
      <c r="G266" s="9">
        <f>F266+E266</f>
        <v>0</v>
      </c>
      <c r="H266" s="9">
        <v>0</v>
      </c>
      <c r="I266" s="9">
        <f>H266+G266</f>
        <v>0</v>
      </c>
      <c r="J266" s="10" t="s">
        <v>359</v>
      </c>
      <c r="K266" s="10" t="s">
        <v>717</v>
      </c>
      <c r="L266" s="11" t="str">
        <f>IF(I266&gt;=50,"ناجح","راسب")</f>
        <v>راسب</v>
      </c>
      <c r="M266" s="11" t="str">
        <f>IF(I266&gt;=90,"امتياز",IF(I266&gt;=80,"جيدجدا",IF(I266&gt;=70,"جيد",IF(I266&gt;=60,"متوسط ",IF(I266&gt;=50,"مقبول","ضعيف")))))</f>
        <v>ضعيف</v>
      </c>
      <c r="N266" s="7"/>
      <c r="O266" s="7"/>
      <c r="P266" s="7"/>
      <c r="Q266" s="7"/>
      <c r="R266" s="17"/>
      <c r="S266" s="17"/>
      <c r="T266" s="17"/>
      <c r="U266" s="17"/>
    </row>
    <row r="267" spans="1:21" ht="24" customHeight="1" thickBot="1" x14ac:dyDescent="0.3">
      <c r="A267" s="6">
        <v>266</v>
      </c>
      <c r="B267" s="13" t="s">
        <v>274</v>
      </c>
      <c r="C267" s="15" t="s">
        <v>622</v>
      </c>
      <c r="D267" s="8" t="s">
        <v>295</v>
      </c>
      <c r="E267" s="9"/>
      <c r="F267" s="9"/>
      <c r="G267" s="9">
        <f>F267+E267</f>
        <v>0</v>
      </c>
      <c r="H267" s="9">
        <v>0</v>
      </c>
      <c r="I267" s="9">
        <f>H267+G267</f>
        <v>0</v>
      </c>
      <c r="J267" s="10" t="s">
        <v>359</v>
      </c>
      <c r="K267" s="10" t="s">
        <v>717</v>
      </c>
      <c r="L267" s="11" t="str">
        <f>IF(I267&gt;=50,"ناجح","راسب")</f>
        <v>راسب</v>
      </c>
      <c r="M267" s="11" t="str">
        <f>IF(I267&gt;=90,"امتياز",IF(I267&gt;=80,"جيدجدا",IF(I267&gt;=70,"جيد",IF(I267&gt;=60,"متوسط ",IF(I267&gt;=50,"مقبول","ضعيف")))))</f>
        <v>ضعيف</v>
      </c>
      <c r="N267" s="7"/>
      <c r="O267" s="7"/>
      <c r="P267" s="7"/>
      <c r="Q267" s="7"/>
      <c r="R267" s="17"/>
      <c r="S267" s="17"/>
      <c r="T267" s="17"/>
      <c r="U267" s="17"/>
    </row>
    <row r="268" spans="1:21" ht="24" customHeight="1" thickBot="1" x14ac:dyDescent="0.3">
      <c r="A268" s="6">
        <v>267</v>
      </c>
      <c r="B268" s="13" t="s">
        <v>275</v>
      </c>
      <c r="C268" s="15" t="s">
        <v>623</v>
      </c>
      <c r="D268" s="8" t="s">
        <v>295</v>
      </c>
      <c r="E268" s="9"/>
      <c r="F268" s="9"/>
      <c r="G268" s="9">
        <f>F268+E268</f>
        <v>0</v>
      </c>
      <c r="H268" s="9">
        <v>0</v>
      </c>
      <c r="I268" s="9">
        <f>H268+G268</f>
        <v>0</v>
      </c>
      <c r="J268" s="10" t="s">
        <v>359</v>
      </c>
      <c r="K268" s="10" t="s">
        <v>717</v>
      </c>
      <c r="L268" s="11" t="str">
        <f>IF(I268&gt;=50,"ناجح","راسب")</f>
        <v>راسب</v>
      </c>
      <c r="M268" s="11" t="str">
        <f>IF(I268&gt;=90,"امتياز",IF(I268&gt;=80,"جيدجدا",IF(I268&gt;=70,"جيد",IF(I268&gt;=60,"متوسط ",IF(I268&gt;=50,"مقبول","ضعيف")))))</f>
        <v>ضعيف</v>
      </c>
      <c r="N268" s="7"/>
      <c r="O268" s="7"/>
      <c r="P268" s="7"/>
      <c r="Q268" s="7"/>
      <c r="R268" s="17"/>
      <c r="S268" s="17"/>
      <c r="T268" s="17"/>
      <c r="U268" s="17"/>
    </row>
    <row r="269" spans="1:21" ht="24" customHeight="1" thickBot="1" x14ac:dyDescent="0.3">
      <c r="A269" s="6">
        <v>268</v>
      </c>
      <c r="B269" s="13" t="s">
        <v>276</v>
      </c>
      <c r="C269" s="15" t="s">
        <v>624</v>
      </c>
      <c r="D269" s="8" t="s">
        <v>295</v>
      </c>
      <c r="E269" s="9"/>
      <c r="F269" s="9"/>
      <c r="G269" s="9">
        <f>F269+E269</f>
        <v>0</v>
      </c>
      <c r="H269" s="9">
        <v>0</v>
      </c>
      <c r="I269" s="9">
        <f>H269+G269</f>
        <v>0</v>
      </c>
      <c r="J269" s="10" t="s">
        <v>359</v>
      </c>
      <c r="K269" s="10" t="s">
        <v>717</v>
      </c>
      <c r="L269" s="11" t="str">
        <f>IF(I269&gt;=50,"ناجح","راسب")</f>
        <v>راسب</v>
      </c>
      <c r="M269" s="11" t="str">
        <f>IF(I269&gt;=90,"امتياز",IF(I269&gt;=80,"جيدجدا",IF(I269&gt;=70,"جيد",IF(I269&gt;=60,"متوسط ",IF(I269&gt;=50,"مقبول","ضعيف")))))</f>
        <v>ضعيف</v>
      </c>
      <c r="N269" s="7"/>
      <c r="O269" s="7"/>
      <c r="P269" s="7"/>
      <c r="Q269" s="7"/>
      <c r="R269" s="17"/>
      <c r="S269" s="17"/>
      <c r="T269" s="17"/>
      <c r="U269" s="17"/>
    </row>
    <row r="270" spans="1:21" ht="24" customHeight="1" thickBot="1" x14ac:dyDescent="0.3">
      <c r="A270" s="6">
        <v>269</v>
      </c>
      <c r="B270" s="13" t="s">
        <v>277</v>
      </c>
      <c r="C270" s="15" t="s">
        <v>625</v>
      </c>
      <c r="D270" s="8" t="s">
        <v>295</v>
      </c>
      <c r="E270" s="9"/>
      <c r="F270" s="9"/>
      <c r="G270" s="9">
        <f>F270+E270</f>
        <v>0</v>
      </c>
      <c r="H270" s="9">
        <v>0</v>
      </c>
      <c r="I270" s="9">
        <f>H270+G270</f>
        <v>0</v>
      </c>
      <c r="J270" s="10" t="s">
        <v>359</v>
      </c>
      <c r="K270" s="10" t="s">
        <v>717</v>
      </c>
      <c r="L270" s="11" t="str">
        <f>IF(I270&gt;=50,"ناجح","راسب")</f>
        <v>راسب</v>
      </c>
      <c r="M270" s="11" t="str">
        <f>IF(I270&gt;=90,"امتياز",IF(I270&gt;=80,"جيدجدا",IF(I270&gt;=70,"جيد",IF(I270&gt;=60,"متوسط ",IF(I270&gt;=50,"مقبول","ضعيف")))))</f>
        <v>ضعيف</v>
      </c>
      <c r="N270" s="7"/>
      <c r="O270" s="7"/>
      <c r="P270" s="7"/>
      <c r="Q270" s="7"/>
      <c r="R270" s="17"/>
      <c r="S270" s="17"/>
      <c r="T270" s="17"/>
      <c r="U270" s="17"/>
    </row>
    <row r="271" spans="1:21" ht="24" customHeight="1" thickBot="1" x14ac:dyDescent="0.3">
      <c r="A271" s="6">
        <v>270</v>
      </c>
      <c r="B271" s="13" t="s">
        <v>278</v>
      </c>
      <c r="C271" s="15" t="s">
        <v>626</v>
      </c>
      <c r="D271" s="8" t="s">
        <v>295</v>
      </c>
      <c r="E271" s="9"/>
      <c r="F271" s="9"/>
      <c r="G271" s="9">
        <f>F271+E271</f>
        <v>0</v>
      </c>
      <c r="H271" s="9">
        <v>0</v>
      </c>
      <c r="I271" s="9">
        <f>H271+G271</f>
        <v>0</v>
      </c>
      <c r="J271" s="10" t="s">
        <v>359</v>
      </c>
      <c r="K271" s="10" t="s">
        <v>717</v>
      </c>
      <c r="L271" s="11" t="str">
        <f>IF(I271&gt;=50,"ناجح","راسب")</f>
        <v>راسب</v>
      </c>
      <c r="M271" s="11" t="str">
        <f>IF(I271&gt;=90,"امتياز",IF(I271&gt;=80,"جيدجدا",IF(I271&gt;=70,"جيد",IF(I271&gt;=60,"متوسط ",IF(I271&gt;=50,"مقبول","ضعيف")))))</f>
        <v>ضعيف</v>
      </c>
      <c r="N271" s="7"/>
      <c r="O271" s="7"/>
      <c r="P271" s="7"/>
      <c r="Q271" s="7"/>
      <c r="R271" s="17"/>
      <c r="S271" s="17"/>
      <c r="T271" s="17"/>
      <c r="U271" s="17"/>
    </row>
    <row r="272" spans="1:21" ht="24" customHeight="1" thickBot="1" x14ac:dyDescent="0.3">
      <c r="A272" s="6">
        <v>271</v>
      </c>
      <c r="B272" s="13" t="s">
        <v>279</v>
      </c>
      <c r="C272" s="15" t="s">
        <v>627</v>
      </c>
      <c r="D272" s="8" t="s">
        <v>295</v>
      </c>
      <c r="E272" s="9"/>
      <c r="F272" s="9"/>
      <c r="G272" s="9">
        <f>F272+E272</f>
        <v>0</v>
      </c>
      <c r="H272" s="9">
        <v>0</v>
      </c>
      <c r="I272" s="9">
        <f>H272+G272</f>
        <v>0</v>
      </c>
      <c r="J272" s="10" t="s">
        <v>359</v>
      </c>
      <c r="K272" s="10" t="s">
        <v>717</v>
      </c>
      <c r="L272" s="11" t="str">
        <f>IF(I272&gt;=50,"ناجح","راسب")</f>
        <v>راسب</v>
      </c>
      <c r="M272" s="11" t="str">
        <f>IF(I272&gt;=90,"امتياز",IF(I272&gt;=80,"جيدجدا",IF(I272&gt;=70,"جيد",IF(I272&gt;=60,"متوسط ",IF(I272&gt;=50,"مقبول","ضعيف")))))</f>
        <v>ضعيف</v>
      </c>
      <c r="N272" s="7"/>
      <c r="O272" s="7"/>
      <c r="P272" s="7"/>
      <c r="Q272" s="7"/>
      <c r="R272" s="17"/>
      <c r="S272" s="17"/>
      <c r="T272" s="17"/>
      <c r="U272" s="17"/>
    </row>
    <row r="273" spans="1:21" ht="24" customHeight="1" thickBot="1" x14ac:dyDescent="0.3">
      <c r="A273" s="6">
        <v>272</v>
      </c>
      <c r="B273" s="13" t="s">
        <v>280</v>
      </c>
      <c r="C273" s="15" t="s">
        <v>628</v>
      </c>
      <c r="D273" s="8" t="s">
        <v>295</v>
      </c>
      <c r="E273" s="9"/>
      <c r="F273" s="9"/>
      <c r="G273" s="9">
        <f>F273+E273</f>
        <v>0</v>
      </c>
      <c r="H273" s="9">
        <v>0</v>
      </c>
      <c r="I273" s="9">
        <f>H273+G273</f>
        <v>0</v>
      </c>
      <c r="J273" s="10" t="s">
        <v>359</v>
      </c>
      <c r="K273" s="10" t="s">
        <v>717</v>
      </c>
      <c r="L273" s="11" t="str">
        <f>IF(I273&gt;=50,"ناجح","راسب")</f>
        <v>راسب</v>
      </c>
      <c r="M273" s="11" t="str">
        <f>IF(I273&gt;=90,"امتياز",IF(I273&gt;=80,"جيدجدا",IF(I273&gt;=70,"جيد",IF(I273&gt;=60,"متوسط ",IF(I273&gt;=50,"مقبول","ضعيف")))))</f>
        <v>ضعيف</v>
      </c>
      <c r="N273" s="7"/>
      <c r="O273" s="7"/>
      <c r="P273" s="7"/>
      <c r="Q273" s="7"/>
      <c r="R273" s="17"/>
      <c r="S273" s="17"/>
      <c r="T273" s="17"/>
      <c r="U273" s="17"/>
    </row>
    <row r="274" spans="1:21" ht="24" customHeight="1" thickBot="1" x14ac:dyDescent="0.3">
      <c r="A274" s="6">
        <v>273</v>
      </c>
      <c r="B274" s="13" t="s">
        <v>281</v>
      </c>
      <c r="C274" s="15" t="s">
        <v>629</v>
      </c>
      <c r="D274" s="8" t="s">
        <v>295</v>
      </c>
      <c r="E274" s="9"/>
      <c r="F274" s="9"/>
      <c r="G274" s="9">
        <f>F274+E274</f>
        <v>0</v>
      </c>
      <c r="H274" s="9">
        <v>0</v>
      </c>
      <c r="I274" s="9">
        <f>H274+G274</f>
        <v>0</v>
      </c>
      <c r="J274" s="10" t="s">
        <v>359</v>
      </c>
      <c r="K274" s="10" t="s">
        <v>717</v>
      </c>
      <c r="L274" s="11" t="str">
        <f>IF(I274&gt;=50,"ناجح","راسب")</f>
        <v>راسب</v>
      </c>
      <c r="M274" s="11" t="str">
        <f>IF(I274&gt;=90,"امتياز",IF(I274&gt;=80,"جيدجدا",IF(I274&gt;=70,"جيد",IF(I274&gt;=60,"متوسط ",IF(I274&gt;=50,"مقبول","ضعيف")))))</f>
        <v>ضعيف</v>
      </c>
      <c r="N274" s="7"/>
      <c r="O274" s="7"/>
      <c r="P274" s="7"/>
      <c r="Q274" s="7"/>
      <c r="R274" s="17"/>
      <c r="S274" s="17"/>
      <c r="T274" s="17"/>
      <c r="U274" s="17"/>
    </row>
    <row r="275" spans="1:21" ht="24" customHeight="1" thickBot="1" x14ac:dyDescent="0.3">
      <c r="A275" s="6">
        <v>274</v>
      </c>
      <c r="B275" s="13" t="s">
        <v>282</v>
      </c>
      <c r="C275" s="15" t="s">
        <v>630</v>
      </c>
      <c r="D275" s="8" t="s">
        <v>295</v>
      </c>
      <c r="E275" s="9">
        <v>59</v>
      </c>
      <c r="F275" s="9">
        <v>0</v>
      </c>
      <c r="G275" s="9">
        <f>F275+E275</f>
        <v>59</v>
      </c>
      <c r="H275" s="9">
        <v>0</v>
      </c>
      <c r="I275" s="9">
        <f>H275+G275</f>
        <v>59</v>
      </c>
      <c r="J275" s="10" t="s">
        <v>359</v>
      </c>
      <c r="K275" s="10" t="s">
        <v>717</v>
      </c>
      <c r="L275" s="11" t="str">
        <f>IF(I275&gt;=50,"ناجح","راسب")</f>
        <v>ناجح</v>
      </c>
      <c r="M275" s="11" t="str">
        <f>IF(I275&gt;=90,"امتياز",IF(I275&gt;=80,"جيدجدا",IF(I275&gt;=70,"جيد",IF(I275&gt;=60,"متوسط ",IF(I275&gt;=50,"مقبول","ضعيف")))))</f>
        <v>مقبول</v>
      </c>
      <c r="N275" s="7"/>
      <c r="O275" s="7"/>
      <c r="P275" s="7"/>
      <c r="Q275" s="7"/>
      <c r="R275" s="17"/>
      <c r="S275" s="17"/>
      <c r="T275" s="17"/>
      <c r="U275" s="17"/>
    </row>
    <row r="276" spans="1:21" ht="24" customHeight="1" thickBot="1" x14ac:dyDescent="0.3">
      <c r="A276" s="6">
        <v>275</v>
      </c>
      <c r="B276" s="13" t="s">
        <v>283</v>
      </c>
      <c r="C276" s="15" t="s">
        <v>631</v>
      </c>
      <c r="D276" s="8" t="s">
        <v>295</v>
      </c>
      <c r="E276" s="9"/>
      <c r="F276" s="9"/>
      <c r="G276" s="9">
        <f>F276+E276</f>
        <v>0</v>
      </c>
      <c r="H276" s="9">
        <v>0</v>
      </c>
      <c r="I276" s="9">
        <f>H276+G276</f>
        <v>0</v>
      </c>
      <c r="J276" s="10" t="s">
        <v>359</v>
      </c>
      <c r="K276" s="10" t="s">
        <v>717</v>
      </c>
      <c r="L276" s="11" t="str">
        <f>IF(I276&gt;=50,"ناجح","راسب")</f>
        <v>راسب</v>
      </c>
      <c r="M276" s="11" t="str">
        <f>IF(I276&gt;=90,"امتياز",IF(I276&gt;=80,"جيدجدا",IF(I276&gt;=70,"جيد",IF(I276&gt;=60,"متوسط ",IF(I276&gt;=50,"مقبول","ضعيف")))))</f>
        <v>ضعيف</v>
      </c>
      <c r="N276" s="7"/>
      <c r="O276" s="7"/>
      <c r="P276" s="7"/>
      <c r="Q276" s="7"/>
      <c r="R276" s="17"/>
      <c r="S276" s="17"/>
      <c r="T276" s="17"/>
      <c r="U276" s="17"/>
    </row>
    <row r="277" spans="1:21" ht="24" customHeight="1" thickBot="1" x14ac:dyDescent="0.3">
      <c r="A277" s="6">
        <v>276</v>
      </c>
      <c r="B277" s="13" t="s">
        <v>284</v>
      </c>
      <c r="C277" s="15" t="s">
        <v>632</v>
      </c>
      <c r="D277" s="8" t="s">
        <v>295</v>
      </c>
      <c r="E277" s="9"/>
      <c r="F277" s="9"/>
      <c r="G277" s="9">
        <f>F277+E277</f>
        <v>0</v>
      </c>
      <c r="H277" s="9">
        <v>0</v>
      </c>
      <c r="I277" s="9">
        <f>H277+G277</f>
        <v>0</v>
      </c>
      <c r="J277" s="10" t="s">
        <v>359</v>
      </c>
      <c r="K277" s="10" t="s">
        <v>717</v>
      </c>
      <c r="L277" s="11" t="str">
        <f>IF(I277&gt;=50,"ناجح","راسب")</f>
        <v>راسب</v>
      </c>
      <c r="M277" s="11" t="str">
        <f>IF(I277&gt;=90,"امتياز",IF(I277&gt;=80,"جيدجدا",IF(I277&gt;=70,"جيد",IF(I277&gt;=60,"متوسط ",IF(I277&gt;=50,"مقبول","ضعيف")))))</f>
        <v>ضعيف</v>
      </c>
      <c r="N277" s="7"/>
      <c r="O277" s="7"/>
      <c r="P277" s="7"/>
      <c r="Q277" s="7"/>
      <c r="R277" s="17"/>
      <c r="S277" s="17"/>
      <c r="T277" s="17"/>
      <c r="U277" s="17"/>
    </row>
    <row r="278" spans="1:21" ht="24" customHeight="1" thickBot="1" x14ac:dyDescent="0.3">
      <c r="A278" s="6">
        <v>277</v>
      </c>
      <c r="B278" s="13" t="s">
        <v>285</v>
      </c>
      <c r="C278" s="15" t="s">
        <v>633</v>
      </c>
      <c r="D278" s="8" t="s">
        <v>295</v>
      </c>
      <c r="E278" s="9"/>
      <c r="F278" s="9"/>
      <c r="G278" s="9">
        <f>F278+E278</f>
        <v>0</v>
      </c>
      <c r="H278" s="9">
        <v>0</v>
      </c>
      <c r="I278" s="9">
        <f>H278+G278</f>
        <v>0</v>
      </c>
      <c r="J278" s="10" t="s">
        <v>359</v>
      </c>
      <c r="K278" s="10" t="s">
        <v>717</v>
      </c>
      <c r="L278" s="11" t="str">
        <f>IF(I278&gt;=50,"ناجح","راسب")</f>
        <v>راسب</v>
      </c>
      <c r="M278" s="11" t="str">
        <f>IF(I278&gt;=90,"امتياز",IF(I278&gt;=80,"جيدجدا",IF(I278&gt;=70,"جيد",IF(I278&gt;=60,"متوسط ",IF(I278&gt;=50,"مقبول","ضعيف")))))</f>
        <v>ضعيف</v>
      </c>
      <c r="N278" s="7"/>
      <c r="O278" s="7"/>
      <c r="P278" s="7"/>
      <c r="Q278" s="7"/>
      <c r="R278" s="17"/>
      <c r="S278" s="17"/>
      <c r="T278" s="17"/>
      <c r="U278" s="17"/>
    </row>
    <row r="279" spans="1:21" ht="24" customHeight="1" thickBot="1" x14ac:dyDescent="0.3">
      <c r="A279" s="6">
        <v>278</v>
      </c>
      <c r="B279" s="13" t="s">
        <v>286</v>
      </c>
      <c r="C279" s="15" t="s">
        <v>634</v>
      </c>
      <c r="D279" s="8" t="s">
        <v>295</v>
      </c>
      <c r="E279" s="9"/>
      <c r="F279" s="9"/>
      <c r="G279" s="9">
        <f>F279+E279</f>
        <v>0</v>
      </c>
      <c r="H279" s="9">
        <v>0</v>
      </c>
      <c r="I279" s="9">
        <f>H279+G279</f>
        <v>0</v>
      </c>
      <c r="J279" s="10" t="s">
        <v>359</v>
      </c>
      <c r="K279" s="10" t="s">
        <v>717</v>
      </c>
      <c r="L279" s="11" t="str">
        <f>IF(I279&gt;=50,"ناجح","راسب")</f>
        <v>راسب</v>
      </c>
      <c r="M279" s="11" t="str">
        <f>IF(I279&gt;=90,"امتياز",IF(I279&gt;=80,"جيدجدا",IF(I279&gt;=70,"جيد",IF(I279&gt;=60,"متوسط ",IF(I279&gt;=50,"مقبول","ضعيف")))))</f>
        <v>ضعيف</v>
      </c>
      <c r="N279" s="7"/>
      <c r="O279" s="7"/>
      <c r="P279" s="7"/>
      <c r="Q279" s="7"/>
      <c r="R279" s="17"/>
      <c r="S279" s="17"/>
      <c r="T279" s="17"/>
      <c r="U279" s="17"/>
    </row>
    <row r="280" spans="1:21" ht="24" customHeight="1" thickBot="1" x14ac:dyDescent="0.3">
      <c r="A280" s="6">
        <v>279</v>
      </c>
      <c r="B280" s="13" t="s">
        <v>287</v>
      </c>
      <c r="C280" s="15" t="s">
        <v>635</v>
      </c>
      <c r="D280" s="8" t="s">
        <v>295</v>
      </c>
      <c r="E280" s="9"/>
      <c r="F280" s="9"/>
      <c r="G280" s="9">
        <f>F280+E280</f>
        <v>0</v>
      </c>
      <c r="H280" s="9">
        <v>0</v>
      </c>
      <c r="I280" s="9">
        <f>H280+G280</f>
        <v>0</v>
      </c>
      <c r="J280" s="10" t="s">
        <v>359</v>
      </c>
      <c r="K280" s="10" t="s">
        <v>717</v>
      </c>
      <c r="L280" s="11" t="str">
        <f>IF(I280&gt;=50,"ناجح","راسب")</f>
        <v>راسب</v>
      </c>
      <c r="M280" s="11" t="str">
        <f>IF(I280&gt;=90,"امتياز",IF(I280&gt;=80,"جيدجدا",IF(I280&gt;=70,"جيد",IF(I280&gt;=60,"متوسط ",IF(I280&gt;=50,"مقبول","ضعيف")))))</f>
        <v>ضعيف</v>
      </c>
      <c r="N280" s="7"/>
      <c r="O280" s="7"/>
      <c r="P280" s="7"/>
      <c r="Q280" s="7"/>
      <c r="R280" s="17"/>
      <c r="S280" s="17"/>
      <c r="T280" s="17"/>
      <c r="U280" s="17"/>
    </row>
    <row r="281" spans="1:21" ht="24" customHeight="1" thickBot="1" x14ac:dyDescent="0.3">
      <c r="A281" s="6">
        <v>280</v>
      </c>
      <c r="B281" s="13" t="s">
        <v>288</v>
      </c>
      <c r="C281" s="15" t="s">
        <v>636</v>
      </c>
      <c r="D281" s="8" t="s">
        <v>295</v>
      </c>
      <c r="E281" s="9"/>
      <c r="F281" s="9"/>
      <c r="G281" s="9">
        <f>F281+E281</f>
        <v>0</v>
      </c>
      <c r="H281" s="9">
        <v>0</v>
      </c>
      <c r="I281" s="9">
        <f>H281+G281</f>
        <v>0</v>
      </c>
      <c r="J281" s="10" t="s">
        <v>359</v>
      </c>
      <c r="K281" s="10" t="s">
        <v>717</v>
      </c>
      <c r="L281" s="11" t="str">
        <f>IF(I281&gt;=50,"ناجح","راسب")</f>
        <v>راسب</v>
      </c>
      <c r="M281" s="11" t="str">
        <f>IF(I281&gt;=90,"امتياز",IF(I281&gt;=80,"جيدجدا",IF(I281&gt;=70,"جيد",IF(I281&gt;=60,"متوسط ",IF(I281&gt;=50,"مقبول","ضعيف")))))</f>
        <v>ضعيف</v>
      </c>
      <c r="N281" s="7"/>
      <c r="O281" s="7"/>
      <c r="P281" s="7"/>
      <c r="Q281" s="7"/>
      <c r="R281" s="17"/>
      <c r="S281" s="17"/>
      <c r="T281" s="17"/>
      <c r="U281" s="17"/>
    </row>
    <row r="282" spans="1:21" ht="24" customHeight="1" thickBot="1" x14ac:dyDescent="0.3">
      <c r="A282" s="6">
        <v>281</v>
      </c>
      <c r="B282" s="13" t="s">
        <v>289</v>
      </c>
      <c r="C282" s="15" t="s">
        <v>637</v>
      </c>
      <c r="D282" s="8" t="s">
        <v>295</v>
      </c>
      <c r="E282" s="9"/>
      <c r="F282" s="9"/>
      <c r="G282" s="9">
        <f>F282+E282</f>
        <v>0</v>
      </c>
      <c r="H282" s="9">
        <v>0</v>
      </c>
      <c r="I282" s="9">
        <f>H282+G282</f>
        <v>0</v>
      </c>
      <c r="J282" s="10" t="s">
        <v>359</v>
      </c>
      <c r="K282" s="10" t="s">
        <v>717</v>
      </c>
      <c r="L282" s="11" t="str">
        <f>IF(I282&gt;=50,"ناجح","راسب")</f>
        <v>راسب</v>
      </c>
      <c r="M282" s="11" t="str">
        <f>IF(I282&gt;=90,"امتياز",IF(I282&gt;=80,"جيدجدا",IF(I282&gt;=70,"جيد",IF(I282&gt;=60,"متوسط ",IF(I282&gt;=50,"مقبول","ضعيف")))))</f>
        <v>ضعيف</v>
      </c>
      <c r="N282" s="7"/>
      <c r="O282" s="7"/>
      <c r="P282" s="7"/>
      <c r="Q282" s="7"/>
      <c r="R282" s="17"/>
      <c r="S282" s="17"/>
      <c r="T282" s="17"/>
      <c r="U282" s="17"/>
    </row>
    <row r="283" spans="1:21" ht="24" customHeight="1" thickBot="1" x14ac:dyDescent="0.3">
      <c r="A283" s="6">
        <v>282</v>
      </c>
      <c r="B283" s="13" t="s">
        <v>290</v>
      </c>
      <c r="C283" s="15" t="s">
        <v>638</v>
      </c>
      <c r="D283" s="8" t="s">
        <v>295</v>
      </c>
      <c r="E283" s="9"/>
      <c r="F283" s="9"/>
      <c r="G283" s="9">
        <f>F283+E283</f>
        <v>0</v>
      </c>
      <c r="H283" s="9">
        <v>0</v>
      </c>
      <c r="I283" s="9">
        <f>H283+G283</f>
        <v>0</v>
      </c>
      <c r="J283" s="10" t="s">
        <v>359</v>
      </c>
      <c r="K283" s="10" t="s">
        <v>717</v>
      </c>
      <c r="L283" s="11" t="str">
        <f>IF(I283&gt;=50,"ناجح","راسب")</f>
        <v>راسب</v>
      </c>
      <c r="M283" s="11" t="str">
        <f>IF(I283&gt;=90,"امتياز",IF(I283&gt;=80,"جيدجدا",IF(I283&gt;=70,"جيد",IF(I283&gt;=60,"متوسط ",IF(I283&gt;=50,"مقبول","ضعيف")))))</f>
        <v>ضعيف</v>
      </c>
      <c r="N283" s="7"/>
      <c r="O283" s="7"/>
      <c r="P283" s="7"/>
      <c r="Q283" s="7"/>
      <c r="R283" s="17"/>
      <c r="S283" s="17"/>
      <c r="T283" s="17"/>
      <c r="U283" s="17"/>
    </row>
    <row r="284" spans="1:21" ht="24" customHeight="1" thickBot="1" x14ac:dyDescent="0.3">
      <c r="A284" s="6">
        <v>283</v>
      </c>
      <c r="B284" s="13" t="s">
        <v>291</v>
      </c>
      <c r="C284" s="15" t="s">
        <v>639</v>
      </c>
      <c r="D284" s="8" t="s">
        <v>295</v>
      </c>
      <c r="E284" s="9"/>
      <c r="F284" s="9"/>
      <c r="G284" s="9">
        <f>F284+E284</f>
        <v>0</v>
      </c>
      <c r="H284" s="9">
        <v>0</v>
      </c>
      <c r="I284" s="9">
        <f>H284+G284</f>
        <v>0</v>
      </c>
      <c r="J284" s="10" t="s">
        <v>359</v>
      </c>
      <c r="K284" s="10" t="s">
        <v>717</v>
      </c>
      <c r="L284" s="11" t="str">
        <f>IF(I284&gt;=50,"ناجح","راسب")</f>
        <v>راسب</v>
      </c>
      <c r="M284" s="11" t="str">
        <f>IF(I284&gt;=90,"امتياز",IF(I284&gt;=80,"جيدجدا",IF(I284&gt;=70,"جيد",IF(I284&gt;=60,"متوسط ",IF(I284&gt;=50,"مقبول","ضعيف")))))</f>
        <v>ضعيف</v>
      </c>
      <c r="N284" s="7"/>
      <c r="O284" s="7"/>
      <c r="P284" s="7"/>
      <c r="Q284" s="7"/>
      <c r="R284" s="17"/>
      <c r="S284" s="17"/>
      <c r="T284" s="17"/>
      <c r="U284" s="17"/>
    </row>
    <row r="285" spans="1:21" ht="24" customHeight="1" thickBot="1" x14ac:dyDescent="0.3">
      <c r="A285" s="6">
        <v>284</v>
      </c>
      <c r="B285" s="13" t="s">
        <v>292</v>
      </c>
      <c r="C285" s="15" t="s">
        <v>640</v>
      </c>
      <c r="D285" s="8" t="s">
        <v>295</v>
      </c>
      <c r="E285" s="9"/>
      <c r="F285" s="9"/>
      <c r="G285" s="9">
        <f>F285+E285</f>
        <v>0</v>
      </c>
      <c r="H285" s="9">
        <v>0</v>
      </c>
      <c r="I285" s="9">
        <f>H285+G285</f>
        <v>0</v>
      </c>
      <c r="J285" s="10" t="s">
        <v>359</v>
      </c>
      <c r="K285" s="10" t="s">
        <v>717</v>
      </c>
      <c r="L285" s="11" t="str">
        <f>IF(I285&gt;=50,"ناجح","راسب")</f>
        <v>راسب</v>
      </c>
      <c r="M285" s="11" t="str">
        <f>IF(I285&gt;=90,"امتياز",IF(I285&gt;=80,"جيدجدا",IF(I285&gt;=70,"جيد",IF(I285&gt;=60,"متوسط ",IF(I285&gt;=50,"مقبول","ضعيف")))))</f>
        <v>ضعيف</v>
      </c>
      <c r="N285" s="7"/>
      <c r="O285" s="7"/>
      <c r="P285" s="7"/>
      <c r="Q285" s="7"/>
      <c r="R285" s="17"/>
      <c r="S285" s="17"/>
      <c r="T285" s="17"/>
      <c r="U285" s="17"/>
    </row>
    <row r="286" spans="1:21" ht="24" customHeight="1" thickBot="1" x14ac:dyDescent="0.3">
      <c r="A286" s="6">
        <v>285</v>
      </c>
      <c r="B286" s="13" t="s">
        <v>293</v>
      </c>
      <c r="C286" s="15" t="s">
        <v>641</v>
      </c>
      <c r="D286" s="8" t="s">
        <v>295</v>
      </c>
      <c r="E286" s="9"/>
      <c r="F286" s="9"/>
      <c r="G286" s="9">
        <f>F286+E286</f>
        <v>0</v>
      </c>
      <c r="H286" s="9">
        <v>0</v>
      </c>
      <c r="I286" s="9">
        <f>H286+G286</f>
        <v>0</v>
      </c>
      <c r="J286" s="10" t="s">
        <v>359</v>
      </c>
      <c r="K286" s="10" t="s">
        <v>717</v>
      </c>
      <c r="L286" s="11" t="str">
        <f>IF(I286&gt;=50,"ناجح","راسب")</f>
        <v>راسب</v>
      </c>
      <c r="M286" s="11" t="str">
        <f>IF(I286&gt;=90,"امتياز",IF(I286&gt;=80,"جيدجدا",IF(I286&gt;=70,"جيد",IF(I286&gt;=60,"متوسط ",IF(I286&gt;=50,"مقبول","ضعيف")))))</f>
        <v>ضعيف</v>
      </c>
      <c r="N286" s="7"/>
      <c r="O286" s="7"/>
      <c r="P286" s="7"/>
      <c r="Q286" s="7"/>
      <c r="R286" s="17"/>
      <c r="S286" s="17"/>
      <c r="T286" s="17"/>
      <c r="U286" s="17"/>
    </row>
    <row r="287" spans="1:21" ht="24" customHeight="1" thickBot="1" x14ac:dyDescent="0.3">
      <c r="A287" s="6">
        <v>286</v>
      </c>
      <c r="B287" s="13" t="s">
        <v>294</v>
      </c>
      <c r="C287" s="15" t="s">
        <v>642</v>
      </c>
      <c r="D287" s="8" t="s">
        <v>295</v>
      </c>
      <c r="E287" s="9"/>
      <c r="F287" s="9"/>
      <c r="G287" s="9">
        <f>F287+E287</f>
        <v>0</v>
      </c>
      <c r="H287" s="9">
        <v>0</v>
      </c>
      <c r="I287" s="9">
        <f>H287+G287</f>
        <v>0</v>
      </c>
      <c r="J287" s="10" t="s">
        <v>359</v>
      </c>
      <c r="K287" s="10" t="s">
        <v>717</v>
      </c>
      <c r="L287" s="11" t="str">
        <f>IF(I287&gt;=50,"ناجح","راسب")</f>
        <v>راسب</v>
      </c>
      <c r="M287" s="11" t="str">
        <f>IF(I287&gt;=90,"امتياز",IF(I287&gt;=80,"جيدجدا",IF(I287&gt;=70,"جيد",IF(I287&gt;=60,"متوسط ",IF(I287&gt;=50,"مقبول","ضعيف")))))</f>
        <v>ضعيف</v>
      </c>
      <c r="N287" s="7"/>
      <c r="O287" s="7"/>
      <c r="P287" s="7"/>
      <c r="Q287" s="7"/>
      <c r="R287" s="17"/>
      <c r="S287" s="17"/>
      <c r="T287" s="17"/>
      <c r="U287" s="17"/>
    </row>
    <row r="288" spans="1:21" ht="24" customHeight="1" thickBot="1" x14ac:dyDescent="0.3">
      <c r="A288" s="6">
        <v>287</v>
      </c>
      <c r="B288" s="13" t="s">
        <v>300</v>
      </c>
      <c r="C288" s="15" t="s">
        <v>643</v>
      </c>
      <c r="D288" s="8" t="s">
        <v>296</v>
      </c>
      <c r="E288" s="9">
        <v>34</v>
      </c>
      <c r="F288" s="9">
        <v>3</v>
      </c>
      <c r="G288" s="9">
        <f>F288+E288</f>
        <v>37</v>
      </c>
      <c r="H288" s="9">
        <v>0</v>
      </c>
      <c r="I288" s="9">
        <f>H288+G288</f>
        <v>37</v>
      </c>
      <c r="J288" s="10" t="s">
        <v>359</v>
      </c>
      <c r="K288" s="10" t="s">
        <v>717</v>
      </c>
      <c r="L288" s="11" t="str">
        <f>IF(I288&gt;=50,"ناجح","راسب")</f>
        <v>راسب</v>
      </c>
      <c r="M288" s="11" t="str">
        <f>IF(I288&gt;=90,"امتياز",IF(I288&gt;=80,"جيدجدا",IF(I288&gt;=70,"جيد",IF(I288&gt;=60,"متوسط ",IF(I288&gt;=50,"مقبول","ضعيف")))))</f>
        <v>ضعيف</v>
      </c>
      <c r="N288" s="7"/>
      <c r="O288" s="7"/>
      <c r="P288" s="7">
        <v>42</v>
      </c>
      <c r="Q288" s="7">
        <v>58</v>
      </c>
      <c r="R288" s="17">
        <v>72.41</v>
      </c>
      <c r="S288" s="17"/>
      <c r="T288" s="17"/>
      <c r="U288" s="17"/>
    </row>
    <row r="289" spans="1:21" ht="24" customHeight="1" thickBot="1" x14ac:dyDescent="0.3">
      <c r="A289" s="6">
        <v>288</v>
      </c>
      <c r="B289" s="13" t="s">
        <v>301</v>
      </c>
      <c r="C289" s="15" t="s">
        <v>644</v>
      </c>
      <c r="D289" s="8" t="s">
        <v>296</v>
      </c>
      <c r="E289" s="9">
        <v>48</v>
      </c>
      <c r="F289" s="9">
        <v>0</v>
      </c>
      <c r="G289" s="9">
        <f>F289+E289</f>
        <v>48</v>
      </c>
      <c r="H289" s="9">
        <v>0</v>
      </c>
      <c r="I289" s="9">
        <f>H289+G289</f>
        <v>48</v>
      </c>
      <c r="J289" s="10" t="s">
        <v>359</v>
      </c>
      <c r="K289" s="10" t="s">
        <v>717</v>
      </c>
      <c r="L289" s="11" t="str">
        <f>IF(I289&gt;=50,"ناجح","راسب")</f>
        <v>راسب</v>
      </c>
      <c r="M289" s="11" t="str">
        <f>IF(I289&gt;=90,"امتياز",IF(I289&gt;=80,"جيدجدا",IF(I289&gt;=70,"جيد",IF(I289&gt;=60,"متوسط ",IF(I289&gt;=50,"مقبول","ضعيف")))))</f>
        <v>ضعيف</v>
      </c>
      <c r="N289" s="7"/>
      <c r="O289" s="7"/>
      <c r="P289" s="7">
        <v>42</v>
      </c>
      <c r="Q289" s="7">
        <v>58</v>
      </c>
      <c r="R289" s="17">
        <v>72.41</v>
      </c>
      <c r="S289" s="17"/>
      <c r="T289" s="17"/>
      <c r="U289" s="17"/>
    </row>
    <row r="290" spans="1:21" ht="24" customHeight="1" thickBot="1" x14ac:dyDescent="0.3">
      <c r="A290" s="6">
        <v>289</v>
      </c>
      <c r="B290" s="13" t="s">
        <v>302</v>
      </c>
      <c r="C290" s="15" t="s">
        <v>645</v>
      </c>
      <c r="D290" s="8" t="s">
        <v>296</v>
      </c>
      <c r="E290" s="9">
        <v>48</v>
      </c>
      <c r="F290" s="9">
        <v>7</v>
      </c>
      <c r="G290" s="9">
        <f>F290+E290</f>
        <v>55</v>
      </c>
      <c r="H290" s="9">
        <v>0</v>
      </c>
      <c r="I290" s="9">
        <f>H290+G290</f>
        <v>55</v>
      </c>
      <c r="J290" s="10" t="s">
        <v>359</v>
      </c>
      <c r="K290" s="10" t="s">
        <v>717</v>
      </c>
      <c r="L290" s="11" t="str">
        <f>IF(I290&gt;=50,"ناجح","راسب")</f>
        <v>ناجح</v>
      </c>
      <c r="M290" s="11" t="str">
        <f>IF(I290&gt;=90,"امتياز",IF(I290&gt;=80,"جيدجدا",IF(I290&gt;=70,"جيد",IF(I290&gt;=60,"متوسط ",IF(I290&gt;=50,"مقبول","ضعيف")))))</f>
        <v>مقبول</v>
      </c>
      <c r="N290" s="7">
        <v>19</v>
      </c>
      <c r="O290" s="7" t="s">
        <v>6</v>
      </c>
      <c r="P290" s="7">
        <v>42</v>
      </c>
      <c r="Q290" s="7">
        <v>58</v>
      </c>
      <c r="R290" s="17">
        <v>72.41</v>
      </c>
      <c r="S290" s="17"/>
      <c r="T290" s="17"/>
      <c r="U290" s="17"/>
    </row>
    <row r="291" spans="1:21" ht="24" customHeight="1" thickBot="1" x14ac:dyDescent="0.3">
      <c r="A291" s="6">
        <v>290</v>
      </c>
      <c r="B291" s="13" t="s">
        <v>303</v>
      </c>
      <c r="C291" s="15" t="s">
        <v>646</v>
      </c>
      <c r="D291" s="8" t="s">
        <v>296</v>
      </c>
      <c r="E291" s="9">
        <v>27</v>
      </c>
      <c r="F291" s="9">
        <v>8</v>
      </c>
      <c r="G291" s="9">
        <f>F291+E291</f>
        <v>35</v>
      </c>
      <c r="H291" s="9">
        <v>0</v>
      </c>
      <c r="I291" s="9">
        <f>H291+G291</f>
        <v>35</v>
      </c>
      <c r="J291" s="10" t="s">
        <v>359</v>
      </c>
      <c r="K291" s="10" t="s">
        <v>717</v>
      </c>
      <c r="L291" s="11" t="str">
        <f>IF(I291&gt;=50,"ناجح","راسب")</f>
        <v>راسب</v>
      </c>
      <c r="M291" s="11" t="str">
        <f>IF(I291&gt;=90,"امتياز",IF(I291&gt;=80,"جيدجدا",IF(I291&gt;=70,"جيد",IF(I291&gt;=60,"متوسط ",IF(I291&gt;=50,"مقبول","ضعيف")))))</f>
        <v>ضعيف</v>
      </c>
      <c r="N291" s="7"/>
      <c r="O291" s="7"/>
      <c r="P291" s="7">
        <v>42</v>
      </c>
      <c r="Q291" s="7">
        <v>58</v>
      </c>
      <c r="R291" s="17">
        <v>72.41</v>
      </c>
      <c r="S291" s="17"/>
      <c r="T291" s="17"/>
      <c r="U291" s="17"/>
    </row>
    <row r="292" spans="1:21" ht="24" customHeight="1" thickBot="1" x14ac:dyDescent="0.3">
      <c r="A292" s="6">
        <v>291</v>
      </c>
      <c r="B292" s="13" t="s">
        <v>304</v>
      </c>
      <c r="C292" s="15" t="s">
        <v>647</v>
      </c>
      <c r="D292" s="8" t="s">
        <v>296</v>
      </c>
      <c r="E292" s="9">
        <v>53</v>
      </c>
      <c r="F292" s="9">
        <v>8</v>
      </c>
      <c r="G292" s="9">
        <f>F292+E292</f>
        <v>61</v>
      </c>
      <c r="H292" s="9">
        <v>0</v>
      </c>
      <c r="I292" s="9">
        <f>H292+G292</f>
        <v>61</v>
      </c>
      <c r="J292" s="10" t="s">
        <v>359</v>
      </c>
      <c r="K292" s="10" t="s">
        <v>717</v>
      </c>
      <c r="L292" s="11" t="str">
        <f>IF(I292&gt;=50,"ناجح","راسب")</f>
        <v>ناجح</v>
      </c>
      <c r="M292" s="11" t="str">
        <f>IF(I292&gt;=90,"امتياز",IF(I292&gt;=80,"جيدجدا",IF(I292&gt;=70,"جيد",IF(I292&gt;=60,"متوسط ",IF(I292&gt;=50,"مقبول","ضعيف")))))</f>
        <v xml:space="preserve">متوسط </v>
      </c>
      <c r="N292" s="7">
        <v>14</v>
      </c>
      <c r="O292" s="7" t="s">
        <v>6</v>
      </c>
      <c r="P292" s="7">
        <v>42</v>
      </c>
      <c r="Q292" s="7">
        <v>58</v>
      </c>
      <c r="R292" s="17">
        <v>72.41</v>
      </c>
      <c r="S292" s="17"/>
      <c r="T292" s="17"/>
      <c r="U292" s="17"/>
    </row>
    <row r="293" spans="1:21" ht="24" customHeight="1" thickBot="1" x14ac:dyDescent="0.3">
      <c r="A293" s="6">
        <v>292</v>
      </c>
      <c r="B293" s="13" t="s">
        <v>305</v>
      </c>
      <c r="C293" s="15" t="s">
        <v>648</v>
      </c>
      <c r="D293" s="8" t="s">
        <v>296</v>
      </c>
      <c r="E293" s="9">
        <v>48</v>
      </c>
      <c r="F293" s="9">
        <v>5</v>
      </c>
      <c r="G293" s="9">
        <f>F293+E293</f>
        <v>53</v>
      </c>
      <c r="H293" s="9">
        <v>0</v>
      </c>
      <c r="I293" s="9">
        <f>H293+G293</f>
        <v>53</v>
      </c>
      <c r="J293" s="10" t="s">
        <v>359</v>
      </c>
      <c r="K293" s="10" t="s">
        <v>717</v>
      </c>
      <c r="L293" s="11" t="str">
        <f>IF(I293&gt;=50,"ناجح","راسب")</f>
        <v>ناجح</v>
      </c>
      <c r="M293" s="11" t="str">
        <f>IF(I293&gt;=90,"امتياز",IF(I293&gt;=80,"جيدجدا",IF(I293&gt;=70,"جيد",IF(I293&gt;=60,"متوسط ",IF(I293&gt;=50,"مقبول","ضعيف")))))</f>
        <v>مقبول</v>
      </c>
      <c r="N293" s="7">
        <v>20</v>
      </c>
      <c r="O293" s="7" t="s">
        <v>6</v>
      </c>
      <c r="P293" s="7">
        <v>42</v>
      </c>
      <c r="Q293" s="7">
        <v>58</v>
      </c>
      <c r="R293" s="17">
        <v>72.41</v>
      </c>
      <c r="S293" s="17"/>
      <c r="T293" s="17"/>
      <c r="U293" s="17"/>
    </row>
    <row r="294" spans="1:21" ht="24" customHeight="1" thickBot="1" x14ac:dyDescent="0.3">
      <c r="A294" s="6">
        <v>293</v>
      </c>
      <c r="B294" s="13" t="s">
        <v>306</v>
      </c>
      <c r="C294" s="15" t="s">
        <v>649</v>
      </c>
      <c r="D294" s="8" t="s">
        <v>296</v>
      </c>
      <c r="E294" s="9">
        <v>50</v>
      </c>
      <c r="F294" s="9">
        <v>10</v>
      </c>
      <c r="G294" s="9">
        <f>F294+E294</f>
        <v>60</v>
      </c>
      <c r="H294" s="9">
        <v>0</v>
      </c>
      <c r="I294" s="9">
        <f>H294+G294</f>
        <v>60</v>
      </c>
      <c r="J294" s="10" t="s">
        <v>359</v>
      </c>
      <c r="K294" s="10" t="s">
        <v>717</v>
      </c>
      <c r="L294" s="11" t="str">
        <f>IF(I294&gt;=50,"ناجح","راسب")</f>
        <v>ناجح</v>
      </c>
      <c r="M294" s="11" t="str">
        <f>IF(I294&gt;=90,"امتياز",IF(I294&gt;=80,"جيدجدا",IF(I294&gt;=70,"جيد",IF(I294&gt;=60,"متوسط ",IF(I294&gt;=50,"مقبول","ضعيف")))))</f>
        <v xml:space="preserve">متوسط </v>
      </c>
      <c r="N294" s="7">
        <v>15</v>
      </c>
      <c r="O294" s="7" t="s">
        <v>6</v>
      </c>
      <c r="P294" s="7">
        <v>42</v>
      </c>
      <c r="Q294" s="7">
        <v>58</v>
      </c>
      <c r="R294" s="17">
        <v>72.41</v>
      </c>
      <c r="S294" s="17"/>
      <c r="T294" s="17"/>
      <c r="U294" s="17"/>
    </row>
    <row r="295" spans="1:21" ht="24" customHeight="1" thickBot="1" x14ac:dyDescent="0.3">
      <c r="A295" s="6">
        <v>294</v>
      </c>
      <c r="B295" s="13" t="s">
        <v>307</v>
      </c>
      <c r="C295" s="15" t="s">
        <v>650</v>
      </c>
      <c r="D295" s="8" t="s">
        <v>296</v>
      </c>
      <c r="E295" s="9">
        <v>55</v>
      </c>
      <c r="F295" s="9">
        <v>8</v>
      </c>
      <c r="G295" s="9">
        <f>F295+E295</f>
        <v>63</v>
      </c>
      <c r="H295" s="9">
        <v>0</v>
      </c>
      <c r="I295" s="9">
        <f>H295+G295</f>
        <v>63</v>
      </c>
      <c r="J295" s="10" t="s">
        <v>359</v>
      </c>
      <c r="K295" s="10" t="s">
        <v>717</v>
      </c>
      <c r="L295" s="11" t="str">
        <f>IF(I295&gt;=50,"ناجح","راسب")</f>
        <v>ناجح</v>
      </c>
      <c r="M295" s="11" t="str">
        <f>IF(I295&gt;=90,"امتياز",IF(I295&gt;=80,"جيدجدا",IF(I295&gt;=70,"جيد",IF(I295&gt;=60,"متوسط ",IF(I295&gt;=50,"مقبول","ضعيف")))))</f>
        <v xml:space="preserve">متوسط </v>
      </c>
      <c r="N295" s="7">
        <v>12</v>
      </c>
      <c r="O295" s="7" t="s">
        <v>6</v>
      </c>
      <c r="P295" s="7">
        <v>42</v>
      </c>
      <c r="Q295" s="7">
        <v>58</v>
      </c>
      <c r="R295" s="17">
        <v>72.41</v>
      </c>
      <c r="S295" s="17"/>
      <c r="T295" s="17"/>
      <c r="U295" s="17"/>
    </row>
    <row r="296" spans="1:21" ht="24" customHeight="1" thickBot="1" x14ac:dyDescent="0.3">
      <c r="A296" s="6">
        <v>295</v>
      </c>
      <c r="B296" s="13" t="s">
        <v>308</v>
      </c>
      <c r="C296" s="15" t="s">
        <v>651</v>
      </c>
      <c r="D296" s="8" t="s">
        <v>296</v>
      </c>
      <c r="E296" s="9">
        <v>46</v>
      </c>
      <c r="F296" s="9">
        <v>12</v>
      </c>
      <c r="G296" s="9">
        <f>F296+E296</f>
        <v>58</v>
      </c>
      <c r="H296" s="9">
        <v>0</v>
      </c>
      <c r="I296" s="9">
        <f>H296+G296</f>
        <v>58</v>
      </c>
      <c r="J296" s="10" t="s">
        <v>359</v>
      </c>
      <c r="K296" s="10" t="s">
        <v>717</v>
      </c>
      <c r="L296" s="11" t="str">
        <f>IF(I296&gt;=50,"ناجح","راسب")</f>
        <v>ناجح</v>
      </c>
      <c r="M296" s="11" t="str">
        <f>IF(I296&gt;=90,"امتياز",IF(I296&gt;=80,"جيدجدا",IF(I296&gt;=70,"جيد",IF(I296&gt;=60,"متوسط ",IF(I296&gt;=50,"مقبول","ضعيف")))))</f>
        <v>مقبول</v>
      </c>
      <c r="N296" s="7">
        <v>16</v>
      </c>
      <c r="O296" s="7" t="s">
        <v>6</v>
      </c>
      <c r="P296" s="7">
        <v>42</v>
      </c>
      <c r="Q296" s="7">
        <v>58</v>
      </c>
      <c r="R296" s="17">
        <v>72.41</v>
      </c>
      <c r="S296" s="17"/>
      <c r="T296" s="17"/>
      <c r="U296" s="17"/>
    </row>
    <row r="297" spans="1:21" ht="24" customHeight="1" thickBot="1" x14ac:dyDescent="0.3">
      <c r="A297" s="6">
        <v>296</v>
      </c>
      <c r="B297" s="13" t="s">
        <v>309</v>
      </c>
      <c r="C297" s="15" t="s">
        <v>652</v>
      </c>
      <c r="D297" s="8" t="s">
        <v>296</v>
      </c>
      <c r="E297" s="9">
        <v>62</v>
      </c>
      <c r="F297" s="9">
        <v>10</v>
      </c>
      <c r="G297" s="9">
        <f>F297+E297</f>
        <v>72</v>
      </c>
      <c r="H297" s="9">
        <v>0</v>
      </c>
      <c r="I297" s="9">
        <f>H297+G297</f>
        <v>72</v>
      </c>
      <c r="J297" s="10" t="s">
        <v>359</v>
      </c>
      <c r="K297" s="10" t="s">
        <v>717</v>
      </c>
      <c r="L297" s="11" t="str">
        <f>IF(I297&gt;=50,"ناجح","راسب")</f>
        <v>ناجح</v>
      </c>
      <c r="M297" s="11" t="str">
        <f>IF(I297&gt;=90,"امتياز",IF(I297&gt;=80,"جيدجدا",IF(I297&gt;=70,"جيد",IF(I297&gt;=60,"متوسط ",IF(I297&gt;=50,"مقبول","ضعيف")))))</f>
        <v>جيد</v>
      </c>
      <c r="N297" s="7">
        <v>6</v>
      </c>
      <c r="O297" s="7" t="s">
        <v>6</v>
      </c>
      <c r="P297" s="7">
        <v>42</v>
      </c>
      <c r="Q297" s="7">
        <v>58</v>
      </c>
      <c r="R297" s="17">
        <v>72.41</v>
      </c>
      <c r="S297" s="17"/>
      <c r="T297" s="17"/>
      <c r="U297" s="17"/>
    </row>
    <row r="298" spans="1:21" ht="24" customHeight="1" thickBot="1" x14ac:dyDescent="0.3">
      <c r="A298" s="6">
        <v>297</v>
      </c>
      <c r="B298" s="13" t="s">
        <v>310</v>
      </c>
      <c r="C298" s="15" t="s">
        <v>653</v>
      </c>
      <c r="D298" s="8" t="s">
        <v>296</v>
      </c>
      <c r="E298" s="9">
        <v>46</v>
      </c>
      <c r="F298" s="9">
        <v>3</v>
      </c>
      <c r="G298" s="9">
        <f>F298+E298</f>
        <v>49</v>
      </c>
      <c r="H298" s="9">
        <v>0</v>
      </c>
      <c r="I298" s="9">
        <f>H298+G298</f>
        <v>49</v>
      </c>
      <c r="J298" s="10" t="s">
        <v>359</v>
      </c>
      <c r="K298" s="10" t="s">
        <v>717</v>
      </c>
      <c r="L298" s="11" t="str">
        <f>IF(I298&gt;=50,"ناجح","راسب")</f>
        <v>راسب</v>
      </c>
      <c r="M298" s="11" t="str">
        <f>IF(I298&gt;=90,"امتياز",IF(I298&gt;=80,"جيدجدا",IF(I298&gt;=70,"جيد",IF(I298&gt;=60,"متوسط ",IF(I298&gt;=50,"مقبول","ضعيف")))))</f>
        <v>ضعيف</v>
      </c>
      <c r="N298" s="7"/>
      <c r="O298" s="7"/>
      <c r="P298" s="7">
        <v>42</v>
      </c>
      <c r="Q298" s="7">
        <v>58</v>
      </c>
      <c r="R298" s="17">
        <v>72.41</v>
      </c>
      <c r="S298" s="17"/>
      <c r="T298" s="17"/>
      <c r="U298" s="17"/>
    </row>
    <row r="299" spans="1:21" ht="24" customHeight="1" thickBot="1" x14ac:dyDescent="0.3">
      <c r="A299" s="6">
        <v>298</v>
      </c>
      <c r="B299" s="13" t="s">
        <v>311</v>
      </c>
      <c r="C299" s="15" t="s">
        <v>654</v>
      </c>
      <c r="D299" s="8" t="s">
        <v>296</v>
      </c>
      <c r="E299" s="9">
        <v>43</v>
      </c>
      <c r="F299" s="9">
        <v>4</v>
      </c>
      <c r="G299" s="9">
        <f>F299+E299</f>
        <v>47</v>
      </c>
      <c r="H299" s="9">
        <v>0</v>
      </c>
      <c r="I299" s="9">
        <f>H299+G299</f>
        <v>47</v>
      </c>
      <c r="J299" s="10" t="s">
        <v>359</v>
      </c>
      <c r="K299" s="10" t="s">
        <v>717</v>
      </c>
      <c r="L299" s="11" t="str">
        <f>IF(I299&gt;=50,"ناجح","راسب")</f>
        <v>راسب</v>
      </c>
      <c r="M299" s="11" t="str">
        <f>IF(I299&gt;=90,"امتياز",IF(I299&gt;=80,"جيدجدا",IF(I299&gt;=70,"جيد",IF(I299&gt;=60,"متوسط ",IF(I299&gt;=50,"مقبول","ضعيف")))))</f>
        <v>ضعيف</v>
      </c>
      <c r="N299" s="7"/>
      <c r="O299" s="7"/>
      <c r="P299" s="7">
        <v>42</v>
      </c>
      <c r="Q299" s="7">
        <v>58</v>
      </c>
      <c r="R299" s="17">
        <v>72.41</v>
      </c>
      <c r="S299" s="17"/>
      <c r="T299" s="17"/>
      <c r="U299" s="17"/>
    </row>
    <row r="300" spans="1:21" ht="24" customHeight="1" thickBot="1" x14ac:dyDescent="0.3">
      <c r="A300" s="6">
        <v>299</v>
      </c>
      <c r="B300" s="13" t="s">
        <v>312</v>
      </c>
      <c r="C300" s="15" t="s">
        <v>655</v>
      </c>
      <c r="D300" s="8" t="s">
        <v>296</v>
      </c>
      <c r="E300" s="9">
        <v>68</v>
      </c>
      <c r="F300" s="9">
        <v>12</v>
      </c>
      <c r="G300" s="9">
        <f>F300+E300</f>
        <v>80</v>
      </c>
      <c r="H300" s="9">
        <v>0</v>
      </c>
      <c r="I300" s="9">
        <f>H300+G300</f>
        <v>80</v>
      </c>
      <c r="J300" s="10" t="s">
        <v>359</v>
      </c>
      <c r="K300" s="10" t="s">
        <v>717</v>
      </c>
      <c r="L300" s="11" t="str">
        <f>IF(I300&gt;=50,"ناجح","راسب")</f>
        <v>ناجح</v>
      </c>
      <c r="M300" s="11" t="str">
        <f>IF(I300&gt;=90,"امتياز",IF(I300&gt;=80,"جيدجدا",IF(I300&gt;=70,"جيد",IF(I300&gt;=60,"متوسط ",IF(I300&gt;=50,"مقبول","ضعيف")))))</f>
        <v>جيدجدا</v>
      </c>
      <c r="N300" s="7">
        <v>2</v>
      </c>
      <c r="O300" s="7" t="s">
        <v>6</v>
      </c>
      <c r="P300" s="7">
        <v>42</v>
      </c>
      <c r="Q300" s="7">
        <v>58</v>
      </c>
      <c r="R300" s="17">
        <v>72.41</v>
      </c>
      <c r="S300" s="17"/>
      <c r="T300" s="17"/>
      <c r="U300" s="17"/>
    </row>
    <row r="301" spans="1:21" ht="24" customHeight="1" thickBot="1" x14ac:dyDescent="0.3">
      <c r="A301" s="6">
        <v>300</v>
      </c>
      <c r="B301" s="13" t="s">
        <v>313</v>
      </c>
      <c r="C301" s="15" t="s">
        <v>656</v>
      </c>
      <c r="D301" s="8" t="s">
        <v>296</v>
      </c>
      <c r="E301" s="9">
        <v>64</v>
      </c>
      <c r="F301" s="9">
        <v>10</v>
      </c>
      <c r="G301" s="9">
        <f>F301+E301</f>
        <v>74</v>
      </c>
      <c r="H301" s="9">
        <v>0</v>
      </c>
      <c r="I301" s="9">
        <f>H301+G301</f>
        <v>74</v>
      </c>
      <c r="J301" s="10" t="s">
        <v>359</v>
      </c>
      <c r="K301" s="10" t="s">
        <v>717</v>
      </c>
      <c r="L301" s="11" t="str">
        <f>IF(I301&gt;=50,"ناجح","راسب")</f>
        <v>ناجح</v>
      </c>
      <c r="M301" s="11" t="str">
        <f>IF(I301&gt;=90,"امتياز",IF(I301&gt;=80,"جيدجدا",IF(I301&gt;=70,"جيد",IF(I301&gt;=60,"متوسط ",IF(I301&gt;=50,"مقبول","ضعيف")))))</f>
        <v>جيد</v>
      </c>
      <c r="N301" s="7">
        <v>4</v>
      </c>
      <c r="O301" s="7" t="s">
        <v>6</v>
      </c>
      <c r="P301" s="7">
        <v>42</v>
      </c>
      <c r="Q301" s="7">
        <v>58</v>
      </c>
      <c r="R301" s="17">
        <v>72.41</v>
      </c>
      <c r="S301" s="17"/>
      <c r="T301" s="17"/>
      <c r="U301" s="17"/>
    </row>
    <row r="302" spans="1:21" ht="24" customHeight="1" thickBot="1" x14ac:dyDescent="0.3">
      <c r="A302" s="6"/>
      <c r="B302" s="13" t="s">
        <v>314</v>
      </c>
      <c r="C302" s="15" t="s">
        <v>657</v>
      </c>
      <c r="D302" s="8" t="s">
        <v>296</v>
      </c>
      <c r="E302" s="9">
        <v>52</v>
      </c>
      <c r="F302" s="9">
        <v>6</v>
      </c>
      <c r="G302" s="9">
        <f>F302+E302</f>
        <v>58</v>
      </c>
      <c r="H302" s="9">
        <v>0</v>
      </c>
      <c r="I302" s="9">
        <f>H302+G302</f>
        <v>58</v>
      </c>
      <c r="J302" s="10" t="s">
        <v>359</v>
      </c>
      <c r="K302" s="10" t="s">
        <v>717</v>
      </c>
      <c r="L302" s="11" t="str">
        <f>IF(I302&gt;=50,"ناجح","راسب")</f>
        <v>ناجح</v>
      </c>
      <c r="M302" s="11" t="str">
        <f>IF(I302&gt;=90,"امتياز",IF(I302&gt;=80,"جيدجدا",IF(I302&gt;=70,"جيد",IF(I302&gt;=60,"متوسط ",IF(I302&gt;=50,"مقبول","ضعيف")))))</f>
        <v>مقبول</v>
      </c>
      <c r="N302" s="7">
        <v>16</v>
      </c>
      <c r="O302" s="7" t="s">
        <v>6</v>
      </c>
      <c r="P302" s="7">
        <v>42</v>
      </c>
      <c r="Q302" s="7">
        <v>58</v>
      </c>
      <c r="R302" s="17">
        <v>72.41</v>
      </c>
      <c r="S302" s="17"/>
      <c r="T302" s="17"/>
      <c r="U302" s="17"/>
    </row>
    <row r="303" spans="1:21" ht="24" customHeight="1" thickBot="1" x14ac:dyDescent="0.3">
      <c r="A303" s="6">
        <v>302</v>
      </c>
      <c r="B303" s="13" t="s">
        <v>315</v>
      </c>
      <c r="C303" s="15" t="s">
        <v>658</v>
      </c>
      <c r="D303" s="8" t="s">
        <v>296</v>
      </c>
      <c r="E303" s="9">
        <v>53</v>
      </c>
      <c r="F303" s="9">
        <v>4</v>
      </c>
      <c r="G303" s="9">
        <f>F303+E303</f>
        <v>57</v>
      </c>
      <c r="H303" s="9">
        <v>0</v>
      </c>
      <c r="I303" s="9">
        <f>H303+G303</f>
        <v>57</v>
      </c>
      <c r="J303" s="10" t="s">
        <v>359</v>
      </c>
      <c r="K303" s="10" t="s">
        <v>717</v>
      </c>
      <c r="L303" s="11" t="str">
        <f>IF(I303&gt;=50,"ناجح","راسب")</f>
        <v>ناجح</v>
      </c>
      <c r="M303" s="11" t="str">
        <f>IF(I303&gt;=90,"امتياز",IF(I303&gt;=80,"جيدجدا",IF(I303&gt;=70,"جيد",IF(I303&gt;=60,"متوسط ",IF(I303&gt;=50,"مقبول","ضعيف")))))</f>
        <v>مقبول</v>
      </c>
      <c r="N303" s="7">
        <v>17</v>
      </c>
      <c r="O303" s="7" t="s">
        <v>6</v>
      </c>
      <c r="P303" s="7">
        <v>42</v>
      </c>
      <c r="Q303" s="7">
        <v>58</v>
      </c>
      <c r="R303" s="17">
        <v>72.41</v>
      </c>
      <c r="S303" s="17"/>
      <c r="T303" s="17"/>
      <c r="U303" s="17"/>
    </row>
    <row r="304" spans="1:21" ht="24" customHeight="1" thickBot="1" x14ac:dyDescent="0.3">
      <c r="A304" s="6">
        <v>303</v>
      </c>
      <c r="B304" s="13" t="s">
        <v>316</v>
      </c>
      <c r="C304" s="15" t="s">
        <v>659</v>
      </c>
      <c r="D304" s="8" t="s">
        <v>296</v>
      </c>
      <c r="E304" s="9">
        <v>53</v>
      </c>
      <c r="F304" s="9">
        <v>12</v>
      </c>
      <c r="G304" s="9">
        <f>F304+E304</f>
        <v>65</v>
      </c>
      <c r="H304" s="9">
        <v>0</v>
      </c>
      <c r="I304" s="9">
        <f>H304+G304</f>
        <v>65</v>
      </c>
      <c r="J304" s="10" t="s">
        <v>359</v>
      </c>
      <c r="K304" s="10" t="s">
        <v>717</v>
      </c>
      <c r="L304" s="11" t="str">
        <f>IF(I304&gt;=50,"ناجح","راسب")</f>
        <v>ناجح</v>
      </c>
      <c r="M304" s="11" t="str">
        <f>IF(I304&gt;=90,"امتياز",IF(I304&gt;=80,"جيدجدا",IF(I304&gt;=70,"جيد",IF(I304&gt;=60,"متوسط ",IF(I304&gt;=50,"مقبول","ضعيف")))))</f>
        <v xml:space="preserve">متوسط </v>
      </c>
      <c r="N304" s="7">
        <v>10</v>
      </c>
      <c r="O304" s="7" t="s">
        <v>6</v>
      </c>
      <c r="P304" s="7">
        <v>42</v>
      </c>
      <c r="Q304" s="7">
        <v>58</v>
      </c>
      <c r="R304" s="17">
        <v>72.41</v>
      </c>
      <c r="S304" s="17"/>
      <c r="T304" s="17"/>
      <c r="U304" s="17"/>
    </row>
    <row r="305" spans="1:21" ht="24" customHeight="1" thickBot="1" x14ac:dyDescent="0.3">
      <c r="A305" s="6">
        <v>304</v>
      </c>
      <c r="B305" s="13" t="s">
        <v>317</v>
      </c>
      <c r="C305" s="15" t="s">
        <v>660</v>
      </c>
      <c r="D305" s="8" t="s">
        <v>296</v>
      </c>
      <c r="E305" s="9">
        <v>44</v>
      </c>
      <c r="F305" s="9">
        <v>0</v>
      </c>
      <c r="G305" s="9">
        <f>F305+E305</f>
        <v>44</v>
      </c>
      <c r="H305" s="9">
        <v>0</v>
      </c>
      <c r="I305" s="9">
        <f>H305+G305</f>
        <v>44</v>
      </c>
      <c r="J305" s="10" t="s">
        <v>359</v>
      </c>
      <c r="K305" s="10" t="s">
        <v>717</v>
      </c>
      <c r="L305" s="11" t="str">
        <f>IF(I305&gt;=50,"ناجح","راسب")</f>
        <v>راسب</v>
      </c>
      <c r="M305" s="11" t="str">
        <f>IF(I305&gt;=90,"امتياز",IF(I305&gt;=80,"جيدجدا",IF(I305&gt;=70,"جيد",IF(I305&gt;=60,"متوسط ",IF(I305&gt;=50,"مقبول","ضعيف")))))</f>
        <v>ضعيف</v>
      </c>
      <c r="N305" s="7"/>
      <c r="O305" s="7"/>
      <c r="P305" s="7">
        <v>42</v>
      </c>
      <c r="Q305" s="7">
        <v>58</v>
      </c>
      <c r="R305" s="17">
        <v>72.41</v>
      </c>
      <c r="S305" s="17"/>
      <c r="T305" s="17"/>
      <c r="U305" s="17"/>
    </row>
    <row r="306" spans="1:21" ht="24" customHeight="1" thickBot="1" x14ac:dyDescent="0.3">
      <c r="A306" s="6">
        <v>305</v>
      </c>
      <c r="B306" s="13" t="s">
        <v>318</v>
      </c>
      <c r="C306" s="15" t="s">
        <v>661</v>
      </c>
      <c r="D306" s="8" t="s">
        <v>296</v>
      </c>
      <c r="E306" s="9">
        <v>62</v>
      </c>
      <c r="F306" s="9">
        <v>10</v>
      </c>
      <c r="G306" s="9">
        <f>F306+E306</f>
        <v>72</v>
      </c>
      <c r="H306" s="9">
        <v>0</v>
      </c>
      <c r="I306" s="9">
        <f>H306+G306</f>
        <v>72</v>
      </c>
      <c r="J306" s="10" t="s">
        <v>359</v>
      </c>
      <c r="K306" s="10" t="s">
        <v>717</v>
      </c>
      <c r="L306" s="11" t="str">
        <f>IF(I306&gt;=50,"ناجح","راسب")</f>
        <v>ناجح</v>
      </c>
      <c r="M306" s="11" t="str">
        <f>IF(I306&gt;=90,"امتياز",IF(I306&gt;=80,"جيدجدا",IF(I306&gt;=70,"جيد",IF(I306&gt;=60,"متوسط ",IF(I306&gt;=50,"مقبول","ضعيف")))))</f>
        <v>جيد</v>
      </c>
      <c r="N306" s="7">
        <v>6</v>
      </c>
      <c r="O306" s="7" t="s">
        <v>6</v>
      </c>
      <c r="P306" s="7">
        <v>42</v>
      </c>
      <c r="Q306" s="7">
        <v>58</v>
      </c>
      <c r="R306" s="17">
        <v>72.41</v>
      </c>
      <c r="S306" s="17"/>
      <c r="T306" s="17"/>
      <c r="U306" s="17"/>
    </row>
    <row r="307" spans="1:21" ht="24" customHeight="1" thickBot="1" x14ac:dyDescent="0.3">
      <c r="A307" s="6">
        <v>306</v>
      </c>
      <c r="B307" s="13" t="s">
        <v>319</v>
      </c>
      <c r="C307" s="15" t="s">
        <v>662</v>
      </c>
      <c r="D307" s="8" t="s">
        <v>296</v>
      </c>
      <c r="E307" s="9">
        <v>0</v>
      </c>
      <c r="F307" s="9">
        <v>0</v>
      </c>
      <c r="G307" s="9">
        <f>F307+E307</f>
        <v>0</v>
      </c>
      <c r="H307" s="9">
        <v>0</v>
      </c>
      <c r="I307" s="9">
        <f>H307+G307</f>
        <v>0</v>
      </c>
      <c r="J307" s="10" t="s">
        <v>359</v>
      </c>
      <c r="K307" s="10" t="s">
        <v>717</v>
      </c>
      <c r="L307" s="11" t="str">
        <f>IF(I307&gt;=50,"ناجح","راسب")</f>
        <v>راسب</v>
      </c>
      <c r="M307" s="11" t="str">
        <f>IF(I307&gt;=90,"امتياز",IF(I307&gt;=80,"جيدجدا",IF(I307&gt;=70,"جيد",IF(I307&gt;=60,"متوسط ",IF(I307&gt;=50,"مقبول","ضعيف")))))</f>
        <v>ضعيف</v>
      </c>
      <c r="N307" s="7"/>
      <c r="O307" s="7"/>
      <c r="P307" s="7">
        <v>42</v>
      </c>
      <c r="Q307" s="7">
        <v>58</v>
      </c>
      <c r="R307" s="17">
        <v>72.41</v>
      </c>
      <c r="S307" s="17"/>
      <c r="T307" s="17"/>
      <c r="U307" s="17"/>
    </row>
    <row r="308" spans="1:21" ht="24" customHeight="1" thickBot="1" x14ac:dyDescent="0.3">
      <c r="A308" s="6">
        <v>307</v>
      </c>
      <c r="B308" s="13" t="s">
        <v>320</v>
      </c>
      <c r="C308" s="15" t="s">
        <v>663</v>
      </c>
      <c r="D308" s="8" t="s">
        <v>296</v>
      </c>
      <c r="E308" s="9">
        <v>50</v>
      </c>
      <c r="F308" s="9">
        <v>10</v>
      </c>
      <c r="G308" s="9">
        <f>F308+E308</f>
        <v>60</v>
      </c>
      <c r="H308" s="9">
        <v>0</v>
      </c>
      <c r="I308" s="9">
        <f>H308+G308</f>
        <v>60</v>
      </c>
      <c r="J308" s="10" t="s">
        <v>359</v>
      </c>
      <c r="K308" s="10" t="s">
        <v>717</v>
      </c>
      <c r="L308" s="11" t="str">
        <f>IF(I308&gt;=50,"ناجح","راسب")</f>
        <v>ناجح</v>
      </c>
      <c r="M308" s="11" t="str">
        <f>IF(I308&gt;=90,"امتياز",IF(I308&gt;=80,"جيدجدا",IF(I308&gt;=70,"جيد",IF(I308&gt;=60,"متوسط ",IF(I308&gt;=50,"مقبول","ضعيف")))))</f>
        <v xml:space="preserve">متوسط </v>
      </c>
      <c r="N308" s="7">
        <v>15</v>
      </c>
      <c r="O308" s="7" t="s">
        <v>6</v>
      </c>
      <c r="P308" s="7">
        <v>42</v>
      </c>
      <c r="Q308" s="7">
        <v>58</v>
      </c>
      <c r="R308" s="17">
        <v>72.41</v>
      </c>
      <c r="S308" s="17"/>
      <c r="T308" s="17"/>
      <c r="U308" s="17"/>
    </row>
    <row r="309" spans="1:21" ht="24" customHeight="1" thickBot="1" x14ac:dyDescent="0.3">
      <c r="A309" s="6">
        <v>308</v>
      </c>
      <c r="B309" s="13" t="s">
        <v>321</v>
      </c>
      <c r="C309" s="15" t="s">
        <v>664</v>
      </c>
      <c r="D309" s="8" t="s">
        <v>296</v>
      </c>
      <c r="E309" s="9">
        <v>55</v>
      </c>
      <c r="F309" s="9">
        <v>17</v>
      </c>
      <c r="G309" s="9">
        <f>F309+E309</f>
        <v>72</v>
      </c>
      <c r="H309" s="9">
        <v>0</v>
      </c>
      <c r="I309" s="9">
        <f>H309+G309</f>
        <v>72</v>
      </c>
      <c r="J309" s="10" t="s">
        <v>359</v>
      </c>
      <c r="K309" s="10" t="s">
        <v>717</v>
      </c>
      <c r="L309" s="11" t="str">
        <f>IF(I309&gt;=50,"ناجح","راسب")</f>
        <v>ناجح</v>
      </c>
      <c r="M309" s="11" t="str">
        <f>IF(I309&gt;=90,"امتياز",IF(I309&gt;=80,"جيدجدا",IF(I309&gt;=70,"جيد",IF(I309&gt;=60,"متوسط ",IF(I309&gt;=50,"مقبول","ضعيف")))))</f>
        <v>جيد</v>
      </c>
      <c r="N309" s="7">
        <v>6</v>
      </c>
      <c r="O309" s="7" t="s">
        <v>6</v>
      </c>
      <c r="P309" s="7">
        <v>42</v>
      </c>
      <c r="Q309" s="7">
        <v>58</v>
      </c>
      <c r="R309" s="17">
        <v>72.41</v>
      </c>
      <c r="S309" s="17"/>
      <c r="T309" s="17"/>
      <c r="U309" s="17"/>
    </row>
    <row r="310" spans="1:21" ht="24" customHeight="1" thickBot="1" x14ac:dyDescent="0.3">
      <c r="A310" s="6">
        <v>309</v>
      </c>
      <c r="B310" s="13" t="s">
        <v>322</v>
      </c>
      <c r="C310" s="15" t="s">
        <v>665</v>
      </c>
      <c r="D310" s="8" t="s">
        <v>296</v>
      </c>
      <c r="E310" s="9">
        <v>50</v>
      </c>
      <c r="F310" s="9">
        <v>20</v>
      </c>
      <c r="G310" s="9">
        <f>F310+E310</f>
        <v>70</v>
      </c>
      <c r="H310" s="9">
        <v>0</v>
      </c>
      <c r="I310" s="9">
        <f>H310+G310</f>
        <v>70</v>
      </c>
      <c r="J310" s="10" t="s">
        <v>359</v>
      </c>
      <c r="K310" s="10" t="s">
        <v>717</v>
      </c>
      <c r="L310" s="11" t="str">
        <f>IF(I310&gt;=50,"ناجح","راسب")</f>
        <v>ناجح</v>
      </c>
      <c r="M310" s="11" t="str">
        <f>IF(I310&gt;=90,"امتياز",IF(I310&gt;=80,"جيدجدا",IF(I310&gt;=70,"جيد",IF(I310&gt;=60,"متوسط ",IF(I310&gt;=50,"مقبول","ضعيف")))))</f>
        <v>جيد</v>
      </c>
      <c r="N310" s="7">
        <v>8</v>
      </c>
      <c r="O310" s="7" t="s">
        <v>6</v>
      </c>
      <c r="P310" s="7">
        <v>42</v>
      </c>
      <c r="Q310" s="7">
        <v>58</v>
      </c>
      <c r="R310" s="17">
        <v>72.41</v>
      </c>
      <c r="S310" s="17"/>
      <c r="T310" s="17"/>
      <c r="U310" s="17"/>
    </row>
    <row r="311" spans="1:21" ht="24" customHeight="1" thickBot="1" x14ac:dyDescent="0.3">
      <c r="A311" s="6">
        <v>310</v>
      </c>
      <c r="B311" s="13" t="s">
        <v>323</v>
      </c>
      <c r="C311" s="15" t="s">
        <v>666</v>
      </c>
      <c r="D311" s="8" t="s">
        <v>296</v>
      </c>
      <c r="E311" s="9">
        <v>64</v>
      </c>
      <c r="F311" s="9">
        <v>10</v>
      </c>
      <c r="G311" s="9">
        <f>F311+E311</f>
        <v>74</v>
      </c>
      <c r="H311" s="9">
        <v>0</v>
      </c>
      <c r="I311" s="9">
        <f>H311+G311</f>
        <v>74</v>
      </c>
      <c r="J311" s="10" t="s">
        <v>359</v>
      </c>
      <c r="K311" s="10" t="s">
        <v>717</v>
      </c>
      <c r="L311" s="11" t="str">
        <f>IF(I311&gt;=50,"ناجح","راسب")</f>
        <v>ناجح</v>
      </c>
      <c r="M311" s="11" t="str">
        <f>IF(I311&gt;=90,"امتياز",IF(I311&gt;=80,"جيدجدا",IF(I311&gt;=70,"جيد",IF(I311&gt;=60,"متوسط ",IF(I311&gt;=50,"مقبول","ضعيف")))))</f>
        <v>جيد</v>
      </c>
      <c r="N311" s="7">
        <v>4</v>
      </c>
      <c r="O311" s="7" t="s">
        <v>6</v>
      </c>
      <c r="P311" s="7">
        <v>42</v>
      </c>
      <c r="Q311" s="7">
        <v>58</v>
      </c>
      <c r="R311" s="17">
        <v>72.41</v>
      </c>
      <c r="S311" s="17"/>
      <c r="T311" s="17"/>
      <c r="U311" s="17"/>
    </row>
    <row r="312" spans="1:21" ht="24" customHeight="1" thickBot="1" x14ac:dyDescent="0.3">
      <c r="A312" s="6">
        <v>311</v>
      </c>
      <c r="B312" s="13" t="s">
        <v>324</v>
      </c>
      <c r="C312" s="15" t="s">
        <v>667</v>
      </c>
      <c r="D312" s="8" t="s">
        <v>296</v>
      </c>
      <c r="E312" s="9">
        <v>52</v>
      </c>
      <c r="F312" s="9">
        <v>5</v>
      </c>
      <c r="G312" s="9">
        <f>F312+E312</f>
        <v>57</v>
      </c>
      <c r="H312" s="9">
        <v>0</v>
      </c>
      <c r="I312" s="9">
        <f>H312+G312</f>
        <v>57</v>
      </c>
      <c r="J312" s="10" t="s">
        <v>359</v>
      </c>
      <c r="K312" s="10" t="s">
        <v>717</v>
      </c>
      <c r="L312" s="11" t="str">
        <f>IF(I312&gt;=50,"ناجح","راسب")</f>
        <v>ناجح</v>
      </c>
      <c r="M312" s="11" t="str">
        <f>IF(I312&gt;=90,"امتياز",IF(I312&gt;=80,"جيدجدا",IF(I312&gt;=70,"جيد",IF(I312&gt;=60,"متوسط ",IF(I312&gt;=50,"مقبول","ضعيف")))))</f>
        <v>مقبول</v>
      </c>
      <c r="N312" s="7">
        <v>17</v>
      </c>
      <c r="O312" s="7" t="s">
        <v>6</v>
      </c>
      <c r="P312" s="7">
        <v>42</v>
      </c>
      <c r="Q312" s="7">
        <v>58</v>
      </c>
      <c r="R312" s="17">
        <v>72.41</v>
      </c>
      <c r="S312" s="17"/>
      <c r="T312" s="17"/>
      <c r="U312" s="17"/>
    </row>
    <row r="313" spans="1:21" ht="24" customHeight="1" thickBot="1" x14ac:dyDescent="0.3">
      <c r="A313" s="6">
        <v>312</v>
      </c>
      <c r="B313" s="13" t="s">
        <v>325</v>
      </c>
      <c r="C313" s="15" t="s">
        <v>668</v>
      </c>
      <c r="D313" s="8" t="s">
        <v>296</v>
      </c>
      <c r="E313" s="9">
        <v>0</v>
      </c>
      <c r="F313" s="9">
        <v>0</v>
      </c>
      <c r="G313" s="9">
        <f>F313+E313</f>
        <v>0</v>
      </c>
      <c r="H313" s="9">
        <v>0</v>
      </c>
      <c r="I313" s="9">
        <f>H313+G313</f>
        <v>0</v>
      </c>
      <c r="J313" s="10" t="s">
        <v>359</v>
      </c>
      <c r="K313" s="10" t="s">
        <v>717</v>
      </c>
      <c r="L313" s="11" t="str">
        <f>IF(I313&gt;=50,"ناجح","راسب")</f>
        <v>راسب</v>
      </c>
      <c r="M313" s="11" t="str">
        <f>IF(I313&gt;=90,"امتياز",IF(I313&gt;=80,"جيدجدا",IF(I313&gt;=70,"جيد",IF(I313&gt;=60,"متوسط ",IF(I313&gt;=50,"مقبول","ضعيف")))))</f>
        <v>ضعيف</v>
      </c>
      <c r="N313" s="7"/>
      <c r="O313" s="7"/>
      <c r="P313" s="7">
        <v>42</v>
      </c>
      <c r="Q313" s="7">
        <v>58</v>
      </c>
      <c r="R313" s="17">
        <v>72.41</v>
      </c>
      <c r="S313" s="17"/>
      <c r="T313" s="17"/>
      <c r="U313" s="17"/>
    </row>
    <row r="314" spans="1:21" ht="24" customHeight="1" thickBot="1" x14ac:dyDescent="0.3">
      <c r="A314" s="6">
        <v>313</v>
      </c>
      <c r="B314" s="13" t="s">
        <v>326</v>
      </c>
      <c r="C314" s="15" t="s">
        <v>669</v>
      </c>
      <c r="D314" s="8" t="s">
        <v>296</v>
      </c>
      <c r="E314" s="9">
        <v>57</v>
      </c>
      <c r="F314" s="9">
        <v>8</v>
      </c>
      <c r="G314" s="9">
        <f>F314+E314</f>
        <v>65</v>
      </c>
      <c r="H314" s="9">
        <v>0</v>
      </c>
      <c r="I314" s="9">
        <f>H314+G314</f>
        <v>65</v>
      </c>
      <c r="J314" s="10" t="s">
        <v>359</v>
      </c>
      <c r="K314" s="10" t="s">
        <v>717</v>
      </c>
      <c r="L314" s="11" t="str">
        <f>IF(I314&gt;=50,"ناجح","راسب")</f>
        <v>ناجح</v>
      </c>
      <c r="M314" s="11" t="str">
        <f>IF(I314&gt;=90,"امتياز",IF(I314&gt;=80,"جيدجدا",IF(I314&gt;=70,"جيد",IF(I314&gt;=60,"متوسط ",IF(I314&gt;=50,"مقبول","ضعيف")))))</f>
        <v xml:space="preserve">متوسط </v>
      </c>
      <c r="N314" s="7">
        <v>10</v>
      </c>
      <c r="O314" s="7" t="s">
        <v>6</v>
      </c>
      <c r="P314" s="7">
        <v>42</v>
      </c>
      <c r="Q314" s="7">
        <v>58</v>
      </c>
      <c r="R314" s="17">
        <v>72.41</v>
      </c>
      <c r="S314" s="17"/>
      <c r="T314" s="17"/>
      <c r="U314" s="17"/>
    </row>
    <row r="315" spans="1:21" ht="24" customHeight="1" thickBot="1" x14ac:dyDescent="0.3">
      <c r="A315" s="6">
        <v>314</v>
      </c>
      <c r="B315" s="13" t="s">
        <v>327</v>
      </c>
      <c r="C315" s="15" t="s">
        <v>670</v>
      </c>
      <c r="D315" s="8" t="s">
        <v>296</v>
      </c>
      <c r="E315" s="9">
        <v>52</v>
      </c>
      <c r="F315" s="9">
        <v>0</v>
      </c>
      <c r="G315" s="9">
        <f>F315+E315</f>
        <v>52</v>
      </c>
      <c r="H315" s="9">
        <v>0</v>
      </c>
      <c r="I315" s="9">
        <f>H315+G315</f>
        <v>52</v>
      </c>
      <c r="J315" s="10" t="s">
        <v>359</v>
      </c>
      <c r="K315" s="10" t="s">
        <v>717</v>
      </c>
      <c r="L315" s="11" t="str">
        <f>IF(I315&gt;=50,"ناجح","راسب")</f>
        <v>ناجح</v>
      </c>
      <c r="M315" s="11" t="str">
        <f>IF(I315&gt;=90,"امتياز",IF(I315&gt;=80,"جيدجدا",IF(I315&gt;=70,"جيد",IF(I315&gt;=60,"متوسط ",IF(I315&gt;=50,"مقبول","ضعيف")))))</f>
        <v>مقبول</v>
      </c>
      <c r="N315" s="7">
        <v>21</v>
      </c>
      <c r="O315" s="7" t="s">
        <v>6</v>
      </c>
      <c r="P315" s="7">
        <v>42</v>
      </c>
      <c r="Q315" s="7">
        <v>58</v>
      </c>
      <c r="R315" s="17">
        <v>72.41</v>
      </c>
      <c r="S315" s="17"/>
      <c r="T315" s="17"/>
      <c r="U315" s="17"/>
    </row>
    <row r="316" spans="1:21" ht="24" customHeight="1" thickBot="1" x14ac:dyDescent="0.3">
      <c r="A316" s="6">
        <v>315</v>
      </c>
      <c r="B316" s="13" t="s">
        <v>328</v>
      </c>
      <c r="C316" s="15" t="s">
        <v>671</v>
      </c>
      <c r="D316" s="8" t="s">
        <v>296</v>
      </c>
      <c r="E316" s="9">
        <v>0</v>
      </c>
      <c r="F316" s="9">
        <v>0</v>
      </c>
      <c r="G316" s="9">
        <f>F316+E316</f>
        <v>0</v>
      </c>
      <c r="H316" s="9">
        <v>0</v>
      </c>
      <c r="I316" s="9">
        <f>H316+G316</f>
        <v>0</v>
      </c>
      <c r="J316" s="10" t="s">
        <v>359</v>
      </c>
      <c r="K316" s="10" t="s">
        <v>717</v>
      </c>
      <c r="L316" s="11" t="str">
        <f>IF(I316&gt;=50,"ناجح","راسب")</f>
        <v>راسب</v>
      </c>
      <c r="M316" s="11" t="str">
        <f>IF(I316&gt;=90,"امتياز",IF(I316&gt;=80,"جيدجدا",IF(I316&gt;=70,"جيد",IF(I316&gt;=60,"متوسط ",IF(I316&gt;=50,"مقبول","ضعيف")))))</f>
        <v>ضعيف</v>
      </c>
      <c r="N316" s="7"/>
      <c r="O316" s="7"/>
      <c r="P316" s="7">
        <v>42</v>
      </c>
      <c r="Q316" s="7">
        <v>58</v>
      </c>
      <c r="R316" s="17">
        <v>72.41</v>
      </c>
      <c r="S316" s="17"/>
      <c r="T316" s="17"/>
      <c r="U316" s="17"/>
    </row>
    <row r="317" spans="1:21" ht="24" customHeight="1" thickBot="1" x14ac:dyDescent="0.3">
      <c r="A317" s="6">
        <v>316</v>
      </c>
      <c r="B317" s="13" t="s">
        <v>329</v>
      </c>
      <c r="C317" s="15" t="s">
        <v>672</v>
      </c>
      <c r="D317" s="8" t="s">
        <v>296</v>
      </c>
      <c r="E317" s="9">
        <v>50</v>
      </c>
      <c r="F317" s="9">
        <v>12</v>
      </c>
      <c r="G317" s="9">
        <f>F317+E317</f>
        <v>62</v>
      </c>
      <c r="H317" s="9">
        <v>0</v>
      </c>
      <c r="I317" s="9">
        <f>H317+G317</f>
        <v>62</v>
      </c>
      <c r="J317" s="10" t="s">
        <v>359</v>
      </c>
      <c r="K317" s="10" t="s">
        <v>717</v>
      </c>
      <c r="L317" s="11" t="str">
        <f>IF(I317&gt;=50,"ناجح","راسب")</f>
        <v>ناجح</v>
      </c>
      <c r="M317" s="11" t="str">
        <f>IF(I317&gt;=90,"امتياز",IF(I317&gt;=80,"جيدجدا",IF(I317&gt;=70,"جيد",IF(I317&gt;=60,"متوسط ",IF(I317&gt;=50,"مقبول","ضعيف")))))</f>
        <v xml:space="preserve">متوسط </v>
      </c>
      <c r="N317" s="7">
        <v>13</v>
      </c>
      <c r="O317" s="7" t="s">
        <v>6</v>
      </c>
      <c r="P317" s="7">
        <v>42</v>
      </c>
      <c r="Q317" s="7">
        <v>58</v>
      </c>
      <c r="R317" s="17">
        <v>72.41</v>
      </c>
      <c r="S317" s="17"/>
      <c r="T317" s="17"/>
      <c r="U317" s="17"/>
    </row>
    <row r="318" spans="1:21" ht="24" customHeight="1" thickBot="1" x14ac:dyDescent="0.3">
      <c r="A318" s="6">
        <v>317</v>
      </c>
      <c r="B318" s="13" t="s">
        <v>330</v>
      </c>
      <c r="C318" s="15" t="s">
        <v>673</v>
      </c>
      <c r="D318" s="8" t="s">
        <v>296</v>
      </c>
      <c r="E318" s="9">
        <v>66</v>
      </c>
      <c r="F318" s="9">
        <v>20</v>
      </c>
      <c r="G318" s="9">
        <f>F318+E318</f>
        <v>86</v>
      </c>
      <c r="H318" s="9">
        <v>0</v>
      </c>
      <c r="I318" s="9">
        <f>H318+G318</f>
        <v>86</v>
      </c>
      <c r="J318" s="10" t="s">
        <v>359</v>
      </c>
      <c r="K318" s="10" t="s">
        <v>717</v>
      </c>
      <c r="L318" s="11" t="str">
        <f>IF(I318&gt;=50,"ناجح","راسب")</f>
        <v>ناجح</v>
      </c>
      <c r="M318" s="11" t="str">
        <f>IF(I318&gt;=90,"امتياز",IF(I318&gt;=80,"جيدجدا",IF(I318&gt;=70,"جيد",IF(I318&gt;=60,"متوسط ",IF(I318&gt;=50,"مقبول","ضعيف")))))</f>
        <v>جيدجدا</v>
      </c>
      <c r="N318" s="7">
        <v>1</v>
      </c>
      <c r="O318" s="7" t="s">
        <v>6</v>
      </c>
      <c r="P318" s="7">
        <v>42</v>
      </c>
      <c r="Q318" s="7">
        <v>58</v>
      </c>
      <c r="R318" s="17">
        <v>72.41</v>
      </c>
      <c r="S318" s="17"/>
      <c r="T318" s="17"/>
      <c r="U318" s="17"/>
    </row>
    <row r="319" spans="1:21" ht="24" customHeight="1" thickBot="1" x14ac:dyDescent="0.3">
      <c r="A319" s="6">
        <v>318</v>
      </c>
      <c r="B319" s="13" t="s">
        <v>331</v>
      </c>
      <c r="C319" s="15" t="s">
        <v>674</v>
      </c>
      <c r="D319" s="8" t="s">
        <v>296</v>
      </c>
      <c r="E319" s="9">
        <v>48</v>
      </c>
      <c r="F319" s="9">
        <v>12</v>
      </c>
      <c r="G319" s="9">
        <f>F319+E319</f>
        <v>60</v>
      </c>
      <c r="H319" s="9">
        <v>0</v>
      </c>
      <c r="I319" s="9">
        <f>H319+G319</f>
        <v>60</v>
      </c>
      <c r="J319" s="10" t="s">
        <v>359</v>
      </c>
      <c r="K319" s="10" t="s">
        <v>717</v>
      </c>
      <c r="L319" s="11" t="str">
        <f>IF(I319&gt;=50,"ناجح","راسب")</f>
        <v>ناجح</v>
      </c>
      <c r="M319" s="11" t="str">
        <f>IF(I319&gt;=90,"امتياز",IF(I319&gt;=80,"جيدجدا",IF(I319&gt;=70,"جيد",IF(I319&gt;=60,"متوسط ",IF(I319&gt;=50,"مقبول","ضعيف")))))</f>
        <v xml:space="preserve">متوسط </v>
      </c>
      <c r="N319" s="7">
        <v>15</v>
      </c>
      <c r="O319" s="7" t="s">
        <v>6</v>
      </c>
      <c r="P319" s="7">
        <v>42</v>
      </c>
      <c r="Q319" s="7">
        <v>58</v>
      </c>
      <c r="R319" s="17">
        <v>72.41</v>
      </c>
      <c r="S319" s="17"/>
      <c r="T319" s="17"/>
      <c r="U319" s="17"/>
    </row>
    <row r="320" spans="1:21" ht="24" customHeight="1" thickBot="1" x14ac:dyDescent="0.3">
      <c r="A320" s="6">
        <v>319</v>
      </c>
      <c r="B320" s="13" t="s">
        <v>332</v>
      </c>
      <c r="C320" s="15" t="s">
        <v>675</v>
      </c>
      <c r="D320" s="8" t="s">
        <v>296</v>
      </c>
      <c r="E320" s="9">
        <v>41</v>
      </c>
      <c r="F320" s="9">
        <v>7</v>
      </c>
      <c r="G320" s="9">
        <f>F320+E320</f>
        <v>48</v>
      </c>
      <c r="H320" s="9">
        <v>0</v>
      </c>
      <c r="I320" s="9">
        <f>H320+G320</f>
        <v>48</v>
      </c>
      <c r="J320" s="10" t="s">
        <v>359</v>
      </c>
      <c r="K320" s="10" t="s">
        <v>717</v>
      </c>
      <c r="L320" s="11" t="str">
        <f>IF(I320&gt;=50,"ناجح","راسب")</f>
        <v>راسب</v>
      </c>
      <c r="M320" s="11" t="str">
        <f>IF(I320&gt;=90,"امتياز",IF(I320&gt;=80,"جيدجدا",IF(I320&gt;=70,"جيد",IF(I320&gt;=60,"متوسط ",IF(I320&gt;=50,"مقبول","ضعيف")))))</f>
        <v>ضعيف</v>
      </c>
      <c r="N320" s="7"/>
      <c r="O320" s="7"/>
      <c r="P320" s="7">
        <v>42</v>
      </c>
      <c r="Q320" s="7">
        <v>58</v>
      </c>
      <c r="R320" s="17">
        <v>72.41</v>
      </c>
      <c r="S320" s="17"/>
      <c r="T320" s="17"/>
      <c r="U320" s="17"/>
    </row>
    <row r="321" spans="1:21" ht="24" customHeight="1" thickBot="1" x14ac:dyDescent="0.3">
      <c r="A321" s="6">
        <v>320</v>
      </c>
      <c r="B321" s="13" t="s">
        <v>333</v>
      </c>
      <c r="C321" s="15" t="s">
        <v>676</v>
      </c>
      <c r="D321" s="8" t="s">
        <v>296</v>
      </c>
      <c r="E321" s="9">
        <v>53</v>
      </c>
      <c r="F321" s="9">
        <v>18</v>
      </c>
      <c r="G321" s="9">
        <f>F321+E321</f>
        <v>71</v>
      </c>
      <c r="H321" s="9">
        <v>0</v>
      </c>
      <c r="I321" s="9">
        <f>H321+G321</f>
        <v>71</v>
      </c>
      <c r="J321" s="10" t="s">
        <v>359</v>
      </c>
      <c r="K321" s="10" t="s">
        <v>717</v>
      </c>
      <c r="L321" s="11" t="str">
        <f>IF(I321&gt;=50,"ناجح","راسب")</f>
        <v>ناجح</v>
      </c>
      <c r="M321" s="11" t="str">
        <f>IF(I321&gt;=90,"امتياز",IF(I321&gt;=80,"جيدجدا",IF(I321&gt;=70,"جيد",IF(I321&gt;=60,"متوسط ",IF(I321&gt;=50,"مقبول","ضعيف")))))</f>
        <v>جيد</v>
      </c>
      <c r="N321" s="7">
        <v>7</v>
      </c>
      <c r="O321" s="7" t="s">
        <v>6</v>
      </c>
      <c r="P321" s="7">
        <v>42</v>
      </c>
      <c r="Q321" s="7">
        <v>58</v>
      </c>
      <c r="R321" s="17">
        <v>72.41</v>
      </c>
      <c r="S321" s="17"/>
      <c r="T321" s="17"/>
      <c r="U321" s="17"/>
    </row>
    <row r="322" spans="1:21" ht="24" customHeight="1" thickBot="1" x14ac:dyDescent="0.3">
      <c r="A322" s="6">
        <v>321</v>
      </c>
      <c r="B322" s="13" t="s">
        <v>334</v>
      </c>
      <c r="C322" s="15" t="s">
        <v>677</v>
      </c>
      <c r="D322" s="8" t="s">
        <v>296</v>
      </c>
      <c r="E322" s="9">
        <v>32</v>
      </c>
      <c r="F322" s="9">
        <v>10</v>
      </c>
      <c r="G322" s="9">
        <f>F322+E322</f>
        <v>42</v>
      </c>
      <c r="H322" s="9">
        <v>0</v>
      </c>
      <c r="I322" s="9">
        <f>H322+G322</f>
        <v>42</v>
      </c>
      <c r="J322" s="10" t="s">
        <v>359</v>
      </c>
      <c r="K322" s="10" t="s">
        <v>717</v>
      </c>
      <c r="L322" s="11" t="str">
        <f>IF(I322&gt;=50,"ناجح","راسب")</f>
        <v>راسب</v>
      </c>
      <c r="M322" s="11" t="str">
        <f>IF(I322&gt;=90,"امتياز",IF(I322&gt;=80,"جيدجدا",IF(I322&gt;=70,"جيد",IF(I322&gt;=60,"متوسط ",IF(I322&gt;=50,"مقبول","ضعيف")))))</f>
        <v>ضعيف</v>
      </c>
      <c r="N322" s="7"/>
      <c r="O322" s="7"/>
      <c r="P322" s="7">
        <v>42</v>
      </c>
      <c r="Q322" s="7">
        <v>58</v>
      </c>
      <c r="R322" s="17">
        <v>72.41</v>
      </c>
      <c r="S322" s="17"/>
      <c r="T322" s="17"/>
      <c r="U322" s="17"/>
    </row>
    <row r="323" spans="1:21" ht="24" customHeight="1" thickBot="1" x14ac:dyDescent="0.3">
      <c r="A323" s="6">
        <v>322</v>
      </c>
      <c r="B323" s="13" t="s">
        <v>335</v>
      </c>
      <c r="C323" s="15" t="s">
        <v>678</v>
      </c>
      <c r="D323" s="8" t="s">
        <v>296</v>
      </c>
      <c r="E323" s="9">
        <v>50</v>
      </c>
      <c r="F323" s="9">
        <v>8</v>
      </c>
      <c r="G323" s="9">
        <f>F323+E323</f>
        <v>58</v>
      </c>
      <c r="H323" s="9">
        <v>0</v>
      </c>
      <c r="I323" s="9">
        <f>H323+G323</f>
        <v>58</v>
      </c>
      <c r="J323" s="10" t="s">
        <v>359</v>
      </c>
      <c r="K323" s="10" t="s">
        <v>717</v>
      </c>
      <c r="L323" s="11" t="str">
        <f>IF(I323&gt;=50,"ناجح","راسب")</f>
        <v>ناجح</v>
      </c>
      <c r="M323" s="11" t="str">
        <f>IF(I323&gt;=90,"امتياز",IF(I323&gt;=80,"جيدجدا",IF(I323&gt;=70,"جيد",IF(I323&gt;=60,"متوسط ",IF(I323&gt;=50,"مقبول","ضعيف")))))</f>
        <v>مقبول</v>
      </c>
      <c r="N323" s="7">
        <v>16</v>
      </c>
      <c r="O323" s="7" t="s">
        <v>6</v>
      </c>
      <c r="P323" s="7">
        <v>42</v>
      </c>
      <c r="Q323" s="7">
        <v>58</v>
      </c>
      <c r="R323" s="17">
        <v>72.41</v>
      </c>
      <c r="S323" s="17"/>
      <c r="T323" s="17"/>
      <c r="U323" s="17"/>
    </row>
    <row r="324" spans="1:21" ht="24" customHeight="1" thickBot="1" x14ac:dyDescent="0.3">
      <c r="A324" s="6">
        <v>323</v>
      </c>
      <c r="B324" s="13" t="s">
        <v>336</v>
      </c>
      <c r="C324" s="15" t="s">
        <v>679</v>
      </c>
      <c r="D324" s="8" t="s">
        <v>296</v>
      </c>
      <c r="E324" s="9">
        <v>64</v>
      </c>
      <c r="F324" s="9">
        <v>12</v>
      </c>
      <c r="G324" s="9">
        <f>F324+E324</f>
        <v>76</v>
      </c>
      <c r="H324" s="9">
        <v>0</v>
      </c>
      <c r="I324" s="9">
        <f>H324+G324</f>
        <v>76</v>
      </c>
      <c r="J324" s="10" t="s">
        <v>359</v>
      </c>
      <c r="K324" s="10" t="s">
        <v>717</v>
      </c>
      <c r="L324" s="11" t="str">
        <f>IF(I324&gt;=50,"ناجح","راسب")</f>
        <v>ناجح</v>
      </c>
      <c r="M324" s="11" t="str">
        <f>IF(I324&gt;=90,"امتياز",IF(I324&gt;=80,"جيدجدا",IF(I324&gt;=70,"جيد",IF(I324&gt;=60,"متوسط ",IF(I324&gt;=50,"مقبول","ضعيف")))))</f>
        <v>جيد</v>
      </c>
      <c r="N324" s="7">
        <v>3</v>
      </c>
      <c r="O324" s="7" t="s">
        <v>6</v>
      </c>
      <c r="P324" s="7">
        <v>42</v>
      </c>
      <c r="Q324" s="7">
        <v>58</v>
      </c>
      <c r="R324" s="17">
        <v>72.41</v>
      </c>
      <c r="S324" s="17"/>
      <c r="T324" s="17"/>
      <c r="U324" s="17"/>
    </row>
    <row r="325" spans="1:21" ht="24" customHeight="1" thickBot="1" x14ac:dyDescent="0.3">
      <c r="A325" s="6">
        <v>324</v>
      </c>
      <c r="B325" s="13" t="s">
        <v>337</v>
      </c>
      <c r="C325" s="15" t="s">
        <v>680</v>
      </c>
      <c r="D325" s="8" t="s">
        <v>296</v>
      </c>
      <c r="E325" s="9">
        <v>60</v>
      </c>
      <c r="F325" s="9">
        <v>13</v>
      </c>
      <c r="G325" s="9">
        <f>F325+E325</f>
        <v>73</v>
      </c>
      <c r="H325" s="9">
        <v>0</v>
      </c>
      <c r="I325" s="9">
        <f>H325+G325</f>
        <v>73</v>
      </c>
      <c r="J325" s="10" t="s">
        <v>359</v>
      </c>
      <c r="K325" s="10" t="s">
        <v>717</v>
      </c>
      <c r="L325" s="11" t="str">
        <f>IF(I325&gt;=50,"ناجح","راسب")</f>
        <v>ناجح</v>
      </c>
      <c r="M325" s="11" t="str">
        <f>IF(I325&gt;=90,"امتياز",IF(I325&gt;=80,"جيدجدا",IF(I325&gt;=70,"جيد",IF(I325&gt;=60,"متوسط ",IF(I325&gt;=50,"مقبول","ضعيف")))))</f>
        <v>جيد</v>
      </c>
      <c r="N325" s="7">
        <v>5</v>
      </c>
      <c r="O325" s="7" t="s">
        <v>6</v>
      </c>
      <c r="P325" s="7">
        <v>42</v>
      </c>
      <c r="Q325" s="7">
        <v>58</v>
      </c>
      <c r="R325" s="17">
        <v>72.41</v>
      </c>
      <c r="S325" s="17"/>
      <c r="T325" s="17"/>
      <c r="U325" s="17"/>
    </row>
    <row r="326" spans="1:21" ht="24" customHeight="1" thickBot="1" x14ac:dyDescent="0.3">
      <c r="A326" s="6">
        <v>325</v>
      </c>
      <c r="B326" s="13" t="s">
        <v>338</v>
      </c>
      <c r="C326" s="15" t="s">
        <v>681</v>
      </c>
      <c r="D326" s="8" t="s">
        <v>296</v>
      </c>
      <c r="E326" s="9">
        <v>59</v>
      </c>
      <c r="F326" s="9">
        <v>12</v>
      </c>
      <c r="G326" s="9">
        <f>F326+E326</f>
        <v>71</v>
      </c>
      <c r="H326" s="9">
        <v>0</v>
      </c>
      <c r="I326" s="9">
        <f>H326+G326</f>
        <v>71</v>
      </c>
      <c r="J326" s="10" t="s">
        <v>359</v>
      </c>
      <c r="K326" s="10" t="s">
        <v>717</v>
      </c>
      <c r="L326" s="11" t="str">
        <f>IF(I326&gt;=50,"ناجح","راسب")</f>
        <v>ناجح</v>
      </c>
      <c r="M326" s="11" t="str">
        <f>IF(I326&gt;=90,"امتياز",IF(I326&gt;=80,"جيدجدا",IF(I326&gt;=70,"جيد",IF(I326&gt;=60,"متوسط ",IF(I326&gt;=50,"مقبول","ضعيف")))))</f>
        <v>جيد</v>
      </c>
      <c r="N326" s="7">
        <v>7</v>
      </c>
      <c r="O326" s="7" t="s">
        <v>6</v>
      </c>
      <c r="P326" s="7">
        <v>42</v>
      </c>
      <c r="Q326" s="7">
        <v>58</v>
      </c>
      <c r="R326" s="17">
        <v>72.41</v>
      </c>
      <c r="S326" s="17"/>
      <c r="T326" s="17"/>
      <c r="U326" s="17"/>
    </row>
    <row r="327" spans="1:21" ht="24" customHeight="1" thickBot="1" x14ac:dyDescent="0.3">
      <c r="A327" s="6">
        <v>326</v>
      </c>
      <c r="B327" s="13" t="s">
        <v>339</v>
      </c>
      <c r="C327" s="15" t="s">
        <v>682</v>
      </c>
      <c r="D327" s="8" t="s">
        <v>296</v>
      </c>
      <c r="E327" s="9">
        <v>52</v>
      </c>
      <c r="F327" s="9">
        <v>10</v>
      </c>
      <c r="G327" s="9">
        <f>F327+E327</f>
        <v>62</v>
      </c>
      <c r="H327" s="9">
        <v>0</v>
      </c>
      <c r="I327" s="9">
        <f>H327+G327</f>
        <v>62</v>
      </c>
      <c r="J327" s="10" t="s">
        <v>359</v>
      </c>
      <c r="K327" s="10" t="s">
        <v>717</v>
      </c>
      <c r="L327" s="11" t="str">
        <f>IF(I327&gt;=50,"ناجح","راسب")</f>
        <v>ناجح</v>
      </c>
      <c r="M327" s="11" t="str">
        <f>IF(I327&gt;=90,"امتياز",IF(I327&gt;=80,"جيدجدا",IF(I327&gt;=70,"جيد",IF(I327&gt;=60,"متوسط ",IF(I327&gt;=50,"مقبول","ضعيف")))))</f>
        <v xml:space="preserve">متوسط </v>
      </c>
      <c r="N327" s="7">
        <v>13</v>
      </c>
      <c r="O327" s="7" t="s">
        <v>6</v>
      </c>
      <c r="P327" s="7">
        <v>42</v>
      </c>
      <c r="Q327" s="7">
        <v>58</v>
      </c>
      <c r="R327" s="17">
        <v>72.41</v>
      </c>
      <c r="S327" s="17"/>
      <c r="T327" s="17"/>
      <c r="U327" s="17"/>
    </row>
    <row r="328" spans="1:21" ht="24" customHeight="1" thickBot="1" x14ac:dyDescent="0.3">
      <c r="A328" s="6">
        <v>327</v>
      </c>
      <c r="B328" s="13" t="s">
        <v>340</v>
      </c>
      <c r="C328" s="15" t="s">
        <v>683</v>
      </c>
      <c r="D328" s="8" t="s">
        <v>296</v>
      </c>
      <c r="E328" s="9">
        <v>53</v>
      </c>
      <c r="F328" s="9">
        <v>15</v>
      </c>
      <c r="G328" s="9">
        <f>F328+E328</f>
        <v>68</v>
      </c>
      <c r="H328" s="9">
        <v>0</v>
      </c>
      <c r="I328" s="9">
        <f>H328+G328</f>
        <v>68</v>
      </c>
      <c r="J328" s="10" t="s">
        <v>359</v>
      </c>
      <c r="K328" s="10" t="s">
        <v>717</v>
      </c>
      <c r="L328" s="11" t="str">
        <f>IF(I328&gt;=50,"ناجح","راسب")</f>
        <v>ناجح</v>
      </c>
      <c r="M328" s="11" t="str">
        <f>IF(I328&gt;=90,"امتياز",IF(I328&gt;=80,"جيدجدا",IF(I328&gt;=70,"جيد",IF(I328&gt;=60,"متوسط ",IF(I328&gt;=50,"مقبول","ضعيف")))))</f>
        <v xml:space="preserve">متوسط </v>
      </c>
      <c r="N328" s="7">
        <v>9</v>
      </c>
      <c r="O328" s="7" t="s">
        <v>6</v>
      </c>
      <c r="P328" s="7">
        <v>42</v>
      </c>
      <c r="Q328" s="7">
        <v>58</v>
      </c>
      <c r="R328" s="17">
        <v>72.41</v>
      </c>
      <c r="S328" s="17"/>
      <c r="T328" s="17"/>
      <c r="U328" s="17"/>
    </row>
    <row r="329" spans="1:21" ht="24" customHeight="1" thickBot="1" x14ac:dyDescent="0.3">
      <c r="A329" s="6">
        <v>328</v>
      </c>
      <c r="B329" s="13" t="s">
        <v>341</v>
      </c>
      <c r="C329" s="15" t="s">
        <v>684</v>
      </c>
      <c r="D329" s="8" t="s">
        <v>296</v>
      </c>
      <c r="E329" s="9">
        <v>60</v>
      </c>
      <c r="F329" s="9">
        <v>5</v>
      </c>
      <c r="G329" s="9">
        <f>F329+E329</f>
        <v>65</v>
      </c>
      <c r="H329" s="9">
        <v>0</v>
      </c>
      <c r="I329" s="9">
        <f>H329+G329</f>
        <v>65</v>
      </c>
      <c r="J329" s="10" t="s">
        <v>359</v>
      </c>
      <c r="K329" s="10" t="s">
        <v>717</v>
      </c>
      <c r="L329" s="11" t="str">
        <f>IF(I329&gt;=50,"ناجح","راسب")</f>
        <v>ناجح</v>
      </c>
      <c r="M329" s="11" t="str">
        <f>IF(I329&gt;=90,"امتياز",IF(I329&gt;=80,"جيدجدا",IF(I329&gt;=70,"جيد",IF(I329&gt;=60,"متوسط ",IF(I329&gt;=50,"مقبول","ضعيف")))))</f>
        <v xml:space="preserve">متوسط </v>
      </c>
      <c r="N329" s="7">
        <v>10</v>
      </c>
      <c r="O329" s="7" t="s">
        <v>6</v>
      </c>
      <c r="P329" s="7">
        <v>42</v>
      </c>
      <c r="Q329" s="7">
        <v>58</v>
      </c>
      <c r="R329" s="17">
        <v>72.41</v>
      </c>
      <c r="S329" s="17"/>
      <c r="T329" s="17"/>
      <c r="U329" s="17"/>
    </row>
    <row r="330" spans="1:21" ht="24" customHeight="1" thickBot="1" x14ac:dyDescent="0.3">
      <c r="A330" s="6">
        <v>329</v>
      </c>
      <c r="B330" s="13" t="s">
        <v>342</v>
      </c>
      <c r="C330" s="15" t="s">
        <v>685</v>
      </c>
      <c r="D330" s="8" t="s">
        <v>296</v>
      </c>
      <c r="E330" s="9">
        <v>64</v>
      </c>
      <c r="F330" s="9">
        <v>7</v>
      </c>
      <c r="G330" s="9">
        <f>F330+E330</f>
        <v>71</v>
      </c>
      <c r="H330" s="9">
        <v>0</v>
      </c>
      <c r="I330" s="9">
        <f>H330+G330</f>
        <v>71</v>
      </c>
      <c r="J330" s="10" t="s">
        <v>359</v>
      </c>
      <c r="K330" s="10" t="s">
        <v>717</v>
      </c>
      <c r="L330" s="11" t="str">
        <f>IF(I330&gt;=50,"ناجح","راسب")</f>
        <v>ناجح</v>
      </c>
      <c r="M330" s="11" t="str">
        <f>IF(I330&gt;=90,"امتياز",IF(I330&gt;=80,"جيدجدا",IF(I330&gt;=70,"جيد",IF(I330&gt;=60,"متوسط ",IF(I330&gt;=50,"مقبول","ضعيف")))))</f>
        <v>جيد</v>
      </c>
      <c r="N330" s="7">
        <v>7</v>
      </c>
      <c r="O330" s="7" t="s">
        <v>6</v>
      </c>
      <c r="P330" s="7">
        <v>42</v>
      </c>
      <c r="Q330" s="7">
        <v>58</v>
      </c>
      <c r="R330" s="17">
        <v>72.41</v>
      </c>
      <c r="S330" s="17"/>
      <c r="T330" s="17"/>
      <c r="U330" s="17"/>
    </row>
    <row r="331" spans="1:21" ht="24" customHeight="1" thickBot="1" x14ac:dyDescent="0.3">
      <c r="A331" s="6">
        <v>330</v>
      </c>
      <c r="B331" s="13" t="s">
        <v>343</v>
      </c>
      <c r="C331" s="15" t="s">
        <v>686</v>
      </c>
      <c r="D331" s="8" t="s">
        <v>296</v>
      </c>
      <c r="E331" s="9">
        <v>0</v>
      </c>
      <c r="F331" s="9">
        <v>0</v>
      </c>
      <c r="G331" s="9">
        <f>F331+E331</f>
        <v>0</v>
      </c>
      <c r="H331" s="9">
        <v>0</v>
      </c>
      <c r="I331" s="9">
        <f>H331+G331</f>
        <v>0</v>
      </c>
      <c r="J331" s="10" t="s">
        <v>359</v>
      </c>
      <c r="K331" s="10" t="s">
        <v>717</v>
      </c>
      <c r="L331" s="11" t="str">
        <f>IF(I331&gt;=50,"ناجح","راسب")</f>
        <v>راسب</v>
      </c>
      <c r="M331" s="11" t="str">
        <f>IF(I331&gt;=90,"امتياز",IF(I331&gt;=80,"جيدجدا",IF(I331&gt;=70,"جيد",IF(I331&gt;=60,"متوسط ",IF(I331&gt;=50,"مقبول","ضعيف")))))</f>
        <v>ضعيف</v>
      </c>
      <c r="N331" s="7"/>
      <c r="O331" s="7"/>
      <c r="P331" s="7">
        <v>42</v>
      </c>
      <c r="Q331" s="7">
        <v>58</v>
      </c>
      <c r="R331" s="17">
        <v>72.41</v>
      </c>
      <c r="S331" s="17"/>
      <c r="T331" s="17"/>
      <c r="U331" s="17"/>
    </row>
    <row r="332" spans="1:21" ht="24" customHeight="1" thickBot="1" x14ac:dyDescent="0.3">
      <c r="A332" s="6">
        <v>331</v>
      </c>
      <c r="B332" s="13" t="s">
        <v>344</v>
      </c>
      <c r="C332" s="15" t="s">
        <v>687</v>
      </c>
      <c r="D332" s="8" t="s">
        <v>296</v>
      </c>
      <c r="E332" s="9">
        <v>57</v>
      </c>
      <c r="F332" s="9">
        <v>13</v>
      </c>
      <c r="G332" s="9">
        <f>F332+E332</f>
        <v>70</v>
      </c>
      <c r="H332" s="9">
        <v>0</v>
      </c>
      <c r="I332" s="9">
        <f>H332+G332</f>
        <v>70</v>
      </c>
      <c r="J332" s="10" t="s">
        <v>359</v>
      </c>
      <c r="K332" s="10" t="s">
        <v>717</v>
      </c>
      <c r="L332" s="11" t="str">
        <f>IF(I332&gt;=50,"ناجح","راسب")</f>
        <v>ناجح</v>
      </c>
      <c r="M332" s="11" t="str">
        <f>IF(I332&gt;=90,"امتياز",IF(I332&gt;=80,"جيدجدا",IF(I332&gt;=70,"جيد",IF(I332&gt;=60,"متوسط ",IF(I332&gt;=50,"مقبول","ضعيف")))))</f>
        <v>جيد</v>
      </c>
      <c r="N332" s="7">
        <v>8</v>
      </c>
      <c r="O332" s="7" t="s">
        <v>6</v>
      </c>
      <c r="P332" s="7">
        <v>42</v>
      </c>
      <c r="Q332" s="7">
        <v>58</v>
      </c>
      <c r="R332" s="17">
        <v>72.41</v>
      </c>
      <c r="S332" s="17"/>
      <c r="T332" s="17"/>
      <c r="U332" s="17"/>
    </row>
    <row r="333" spans="1:21" ht="24" customHeight="1" thickBot="1" x14ac:dyDescent="0.3">
      <c r="A333" s="6">
        <v>332</v>
      </c>
      <c r="B333" s="13" t="s">
        <v>345</v>
      </c>
      <c r="C333" s="15" t="s">
        <v>688</v>
      </c>
      <c r="D333" s="8" t="s">
        <v>296</v>
      </c>
      <c r="E333" s="9">
        <v>39</v>
      </c>
      <c r="F333" s="9">
        <v>0</v>
      </c>
      <c r="G333" s="9">
        <f>F333+E333</f>
        <v>39</v>
      </c>
      <c r="H333" s="9">
        <v>0</v>
      </c>
      <c r="I333" s="9">
        <f>H333+G333</f>
        <v>39</v>
      </c>
      <c r="J333" s="10" t="s">
        <v>359</v>
      </c>
      <c r="K333" s="10" t="s">
        <v>717</v>
      </c>
      <c r="L333" s="11" t="str">
        <f>IF(I333&gt;=50,"ناجح","راسب")</f>
        <v>راسب</v>
      </c>
      <c r="M333" s="11" t="str">
        <f>IF(I333&gt;=90,"امتياز",IF(I333&gt;=80,"جيدجدا",IF(I333&gt;=70,"جيد",IF(I333&gt;=60,"متوسط ",IF(I333&gt;=50,"مقبول","ضعيف")))))</f>
        <v>ضعيف</v>
      </c>
      <c r="N333" s="7"/>
      <c r="O333" s="7"/>
      <c r="P333" s="7">
        <v>42</v>
      </c>
      <c r="Q333" s="7">
        <v>58</v>
      </c>
      <c r="R333" s="17">
        <v>72.41</v>
      </c>
      <c r="S333" s="17"/>
      <c r="T333" s="17"/>
      <c r="U333" s="17"/>
    </row>
    <row r="334" spans="1:21" ht="24" customHeight="1" thickBot="1" x14ac:dyDescent="0.3">
      <c r="A334" s="6">
        <v>333</v>
      </c>
      <c r="B334" s="13" t="s">
        <v>346</v>
      </c>
      <c r="C334" s="15" t="s">
        <v>689</v>
      </c>
      <c r="D334" s="8" t="s">
        <v>296</v>
      </c>
      <c r="E334" s="9">
        <v>60</v>
      </c>
      <c r="F334" s="9">
        <v>14</v>
      </c>
      <c r="G334" s="9">
        <f>F334+E334</f>
        <v>74</v>
      </c>
      <c r="H334" s="9">
        <v>0</v>
      </c>
      <c r="I334" s="9">
        <f>H334+G334</f>
        <v>74</v>
      </c>
      <c r="J334" s="10" t="s">
        <v>359</v>
      </c>
      <c r="K334" s="10" t="s">
        <v>717</v>
      </c>
      <c r="L334" s="11" t="str">
        <f>IF(I334&gt;=50,"ناجح","راسب")</f>
        <v>ناجح</v>
      </c>
      <c r="M334" s="11" t="str">
        <f>IF(I334&gt;=90,"امتياز",IF(I334&gt;=80,"جيدجدا",IF(I334&gt;=70,"جيد",IF(I334&gt;=60,"متوسط ",IF(I334&gt;=50,"مقبول","ضعيف")))))</f>
        <v>جيد</v>
      </c>
      <c r="N334" s="7">
        <v>4</v>
      </c>
      <c r="O334" s="7" t="s">
        <v>6</v>
      </c>
      <c r="P334" s="7">
        <v>42</v>
      </c>
      <c r="Q334" s="7">
        <v>58</v>
      </c>
      <c r="R334" s="17">
        <v>72.41</v>
      </c>
      <c r="S334" s="17"/>
      <c r="T334" s="17"/>
      <c r="U334" s="17"/>
    </row>
    <row r="335" spans="1:21" ht="24" customHeight="1" thickBot="1" x14ac:dyDescent="0.3">
      <c r="A335" s="6">
        <v>334</v>
      </c>
      <c r="B335" s="13" t="s">
        <v>347</v>
      </c>
      <c r="C335" s="15" t="s">
        <v>690</v>
      </c>
      <c r="D335" s="8" t="s">
        <v>296</v>
      </c>
      <c r="E335" s="9">
        <v>60</v>
      </c>
      <c r="F335" s="9">
        <v>5</v>
      </c>
      <c r="G335" s="9">
        <f>F335+E335</f>
        <v>65</v>
      </c>
      <c r="H335" s="9">
        <v>0</v>
      </c>
      <c r="I335" s="9">
        <f>H335+G335</f>
        <v>65</v>
      </c>
      <c r="J335" s="10" t="s">
        <v>359</v>
      </c>
      <c r="K335" s="10" t="s">
        <v>717</v>
      </c>
      <c r="L335" s="11" t="str">
        <f>IF(I335&gt;=50,"ناجح","راسب")</f>
        <v>ناجح</v>
      </c>
      <c r="M335" s="11" t="str">
        <f>IF(I335&gt;=90,"امتياز",IF(I335&gt;=80,"جيدجدا",IF(I335&gt;=70,"جيد",IF(I335&gt;=60,"متوسط ",IF(I335&gt;=50,"مقبول","ضعيف")))))</f>
        <v xml:space="preserve">متوسط </v>
      </c>
      <c r="N335" s="7">
        <v>10</v>
      </c>
      <c r="O335" s="7" t="s">
        <v>6</v>
      </c>
      <c r="P335" s="7">
        <v>42</v>
      </c>
      <c r="Q335" s="7">
        <v>58</v>
      </c>
      <c r="R335" s="17">
        <v>72.41</v>
      </c>
      <c r="S335" s="17"/>
      <c r="T335" s="17"/>
      <c r="U335" s="17"/>
    </row>
    <row r="336" spans="1:21" ht="24" customHeight="1" thickBot="1" x14ac:dyDescent="0.3">
      <c r="A336" s="6">
        <v>335</v>
      </c>
      <c r="B336" s="13" t="s">
        <v>348</v>
      </c>
      <c r="C336" s="15" t="s">
        <v>691</v>
      </c>
      <c r="D336" s="8" t="s">
        <v>296</v>
      </c>
      <c r="E336" s="9">
        <v>50</v>
      </c>
      <c r="F336" s="9">
        <v>20</v>
      </c>
      <c r="G336" s="9">
        <f>F336+E336</f>
        <v>70</v>
      </c>
      <c r="H336" s="9">
        <v>0</v>
      </c>
      <c r="I336" s="9">
        <f>H336+G336</f>
        <v>70</v>
      </c>
      <c r="J336" s="10" t="s">
        <v>359</v>
      </c>
      <c r="K336" s="10" t="s">
        <v>717</v>
      </c>
      <c r="L336" s="11" t="str">
        <f>IF(I336&gt;=50,"ناجح","راسب")</f>
        <v>ناجح</v>
      </c>
      <c r="M336" s="11" t="str">
        <f>IF(I336&gt;=90,"امتياز",IF(I336&gt;=80,"جيدجدا",IF(I336&gt;=70,"جيد",IF(I336&gt;=60,"متوسط ",IF(I336&gt;=50,"مقبول","ضعيف")))))</f>
        <v>جيد</v>
      </c>
      <c r="N336" s="7">
        <v>8</v>
      </c>
      <c r="O336" s="7" t="s">
        <v>6</v>
      </c>
      <c r="P336" s="7">
        <v>42</v>
      </c>
      <c r="Q336" s="7">
        <v>58</v>
      </c>
      <c r="R336" s="17">
        <v>72.41</v>
      </c>
      <c r="S336" s="17"/>
      <c r="T336" s="17"/>
      <c r="U336" s="17"/>
    </row>
    <row r="337" spans="1:21" ht="24" customHeight="1" thickBot="1" x14ac:dyDescent="0.3">
      <c r="A337" s="6">
        <v>336</v>
      </c>
      <c r="B337" s="13" t="s">
        <v>349</v>
      </c>
      <c r="C337" s="15" t="s">
        <v>692</v>
      </c>
      <c r="D337" s="8" t="s">
        <v>296</v>
      </c>
      <c r="E337" s="9">
        <v>64</v>
      </c>
      <c r="F337" s="9">
        <v>12</v>
      </c>
      <c r="G337" s="9">
        <f>F337+E337</f>
        <v>76</v>
      </c>
      <c r="H337" s="9">
        <v>0</v>
      </c>
      <c r="I337" s="9">
        <f>H337+G337</f>
        <v>76</v>
      </c>
      <c r="J337" s="10" t="s">
        <v>359</v>
      </c>
      <c r="K337" s="10" t="s">
        <v>717</v>
      </c>
      <c r="L337" s="11" t="str">
        <f>IF(I337&gt;=50,"ناجح","راسب")</f>
        <v>ناجح</v>
      </c>
      <c r="M337" s="11" t="str">
        <f>IF(I337&gt;=90,"امتياز",IF(I337&gt;=80,"جيدجدا",IF(I337&gt;=70,"جيد",IF(I337&gt;=60,"متوسط ",IF(I337&gt;=50,"مقبول","ضعيف")))))</f>
        <v>جيد</v>
      </c>
      <c r="N337" s="7">
        <v>3</v>
      </c>
      <c r="O337" s="7" t="s">
        <v>6</v>
      </c>
      <c r="P337" s="7">
        <v>42</v>
      </c>
      <c r="Q337" s="7">
        <v>58</v>
      </c>
      <c r="R337" s="17">
        <v>72.41</v>
      </c>
      <c r="S337" s="17"/>
      <c r="T337" s="17"/>
      <c r="U337" s="17"/>
    </row>
    <row r="338" spans="1:21" ht="24" customHeight="1" thickBot="1" x14ac:dyDescent="0.3">
      <c r="A338" s="6">
        <v>337</v>
      </c>
      <c r="B338" s="13" t="s">
        <v>350</v>
      </c>
      <c r="C338" s="15" t="s">
        <v>693</v>
      </c>
      <c r="D338" s="8" t="s">
        <v>296</v>
      </c>
      <c r="E338" s="9">
        <v>50</v>
      </c>
      <c r="F338" s="9">
        <v>12</v>
      </c>
      <c r="G338" s="9">
        <f>F338+E338</f>
        <v>62</v>
      </c>
      <c r="H338" s="9">
        <v>0</v>
      </c>
      <c r="I338" s="9">
        <f>H338+G338</f>
        <v>62</v>
      </c>
      <c r="J338" s="10" t="s">
        <v>359</v>
      </c>
      <c r="K338" s="10" t="s">
        <v>717</v>
      </c>
      <c r="L338" s="11" t="str">
        <f>IF(I338&gt;=50,"ناجح","راسب")</f>
        <v>ناجح</v>
      </c>
      <c r="M338" s="11" t="str">
        <f>IF(I338&gt;=90,"امتياز",IF(I338&gt;=80,"جيدجدا",IF(I338&gt;=70,"جيد",IF(I338&gt;=60,"متوسط ",IF(I338&gt;=50,"مقبول","ضعيف")))))</f>
        <v xml:space="preserve">متوسط </v>
      </c>
      <c r="N338" s="7">
        <v>13</v>
      </c>
      <c r="O338" s="7" t="s">
        <v>6</v>
      </c>
      <c r="P338" s="7">
        <v>42</v>
      </c>
      <c r="Q338" s="7">
        <v>58</v>
      </c>
      <c r="R338" s="17">
        <v>72.41</v>
      </c>
      <c r="S338" s="17"/>
      <c r="T338" s="17"/>
      <c r="U338" s="17"/>
    </row>
    <row r="339" spans="1:21" ht="24" customHeight="1" thickBot="1" x14ac:dyDescent="0.3">
      <c r="A339" s="6">
        <v>338</v>
      </c>
      <c r="B339" s="13" t="s">
        <v>351</v>
      </c>
      <c r="C339" s="15" t="s">
        <v>694</v>
      </c>
      <c r="D339" s="8" t="s">
        <v>296</v>
      </c>
      <c r="E339" s="9">
        <v>44</v>
      </c>
      <c r="F339" s="9">
        <v>0</v>
      </c>
      <c r="G339" s="9">
        <f>F339+E339</f>
        <v>44</v>
      </c>
      <c r="H339" s="9">
        <v>0</v>
      </c>
      <c r="I339" s="9">
        <f>H339+G339</f>
        <v>44</v>
      </c>
      <c r="J339" s="10" t="s">
        <v>359</v>
      </c>
      <c r="K339" s="10" t="s">
        <v>717</v>
      </c>
      <c r="L339" s="11" t="str">
        <f>IF(I339&gt;=50,"ناجح","راسب")</f>
        <v>راسب</v>
      </c>
      <c r="M339" s="11" t="str">
        <f>IF(I339&gt;=90,"امتياز",IF(I339&gt;=80,"جيدجدا",IF(I339&gt;=70,"جيد",IF(I339&gt;=60,"متوسط ",IF(I339&gt;=50,"مقبول","ضعيف")))))</f>
        <v>ضعيف</v>
      </c>
      <c r="N339" s="7"/>
      <c r="O339" s="7"/>
      <c r="P339" s="7">
        <v>42</v>
      </c>
      <c r="Q339" s="7">
        <v>58</v>
      </c>
      <c r="R339" s="17">
        <v>72.41</v>
      </c>
      <c r="S339" s="17"/>
      <c r="T339" s="17"/>
      <c r="U339" s="17"/>
    </row>
    <row r="340" spans="1:21" ht="24" customHeight="1" thickBot="1" x14ac:dyDescent="0.3">
      <c r="A340" s="6">
        <v>339</v>
      </c>
      <c r="B340" s="13" t="s">
        <v>352</v>
      </c>
      <c r="C340" s="15" t="s">
        <v>695</v>
      </c>
      <c r="D340" s="8" t="s">
        <v>296</v>
      </c>
      <c r="E340" s="9">
        <v>59</v>
      </c>
      <c r="F340" s="9">
        <v>13</v>
      </c>
      <c r="G340" s="9">
        <f>F340+E340</f>
        <v>72</v>
      </c>
      <c r="H340" s="9">
        <v>0</v>
      </c>
      <c r="I340" s="9">
        <f>H340+G340</f>
        <v>72</v>
      </c>
      <c r="J340" s="10" t="s">
        <v>359</v>
      </c>
      <c r="K340" s="10" t="s">
        <v>717</v>
      </c>
      <c r="L340" s="11" t="str">
        <f>IF(I340&gt;=50,"ناجح","راسب")</f>
        <v>ناجح</v>
      </c>
      <c r="M340" s="11" t="str">
        <f>IF(I340&gt;=90,"امتياز",IF(I340&gt;=80,"جيدجدا",IF(I340&gt;=70,"جيد",IF(I340&gt;=60,"متوسط ",IF(I340&gt;=50,"مقبول","ضعيف")))))</f>
        <v>جيد</v>
      </c>
      <c r="N340" s="7">
        <v>6</v>
      </c>
      <c r="O340" s="7" t="s">
        <v>6</v>
      </c>
      <c r="P340" s="7">
        <v>42</v>
      </c>
      <c r="Q340" s="7">
        <v>58</v>
      </c>
      <c r="R340" s="17">
        <v>72.41</v>
      </c>
      <c r="S340" s="17"/>
      <c r="T340" s="17"/>
      <c r="U340" s="17"/>
    </row>
    <row r="341" spans="1:21" ht="24" customHeight="1" thickBot="1" x14ac:dyDescent="0.3">
      <c r="A341" s="6">
        <v>340</v>
      </c>
      <c r="B341" s="13" t="s">
        <v>353</v>
      </c>
      <c r="C341" s="15" t="s">
        <v>696</v>
      </c>
      <c r="D341" s="8" t="s">
        <v>296</v>
      </c>
      <c r="E341" s="9">
        <v>43</v>
      </c>
      <c r="F341" s="9">
        <v>2</v>
      </c>
      <c r="G341" s="9">
        <f>F341+E341</f>
        <v>45</v>
      </c>
      <c r="H341" s="9">
        <v>0</v>
      </c>
      <c r="I341" s="9">
        <f>H341+G341</f>
        <v>45</v>
      </c>
      <c r="J341" s="10" t="s">
        <v>359</v>
      </c>
      <c r="K341" s="10" t="s">
        <v>717</v>
      </c>
      <c r="L341" s="11" t="str">
        <f>IF(I341&gt;=50,"ناجح","راسب")</f>
        <v>راسب</v>
      </c>
      <c r="M341" s="11" t="str">
        <f>IF(I341&gt;=90,"امتياز",IF(I341&gt;=80,"جيدجدا",IF(I341&gt;=70,"جيد",IF(I341&gt;=60,"متوسط ",IF(I341&gt;=50,"مقبول","ضعيف")))))</f>
        <v>ضعيف</v>
      </c>
      <c r="N341" s="7"/>
      <c r="O341" s="7"/>
      <c r="P341" s="7">
        <v>42</v>
      </c>
      <c r="Q341" s="7">
        <v>58</v>
      </c>
      <c r="R341" s="17">
        <v>72.41</v>
      </c>
      <c r="S341" s="17"/>
      <c r="T341" s="17"/>
      <c r="U341" s="17"/>
    </row>
    <row r="342" spans="1:21" ht="24" customHeight="1" thickBot="1" x14ac:dyDescent="0.3">
      <c r="A342" s="6">
        <v>341</v>
      </c>
      <c r="B342" s="13" t="s">
        <v>354</v>
      </c>
      <c r="C342" s="15" t="s">
        <v>697</v>
      </c>
      <c r="D342" s="8" t="s">
        <v>296</v>
      </c>
      <c r="E342" s="9">
        <v>46</v>
      </c>
      <c r="F342" s="9">
        <v>5</v>
      </c>
      <c r="G342" s="9">
        <f>F342+E342</f>
        <v>51</v>
      </c>
      <c r="H342" s="9">
        <v>0</v>
      </c>
      <c r="I342" s="9">
        <f>H342+G342</f>
        <v>51</v>
      </c>
      <c r="J342" s="10" t="s">
        <v>359</v>
      </c>
      <c r="K342" s="10" t="s">
        <v>717</v>
      </c>
      <c r="L342" s="11" t="str">
        <f>IF(I342&gt;=50,"ناجح","راسب")</f>
        <v>ناجح</v>
      </c>
      <c r="M342" s="11" t="str">
        <f>IF(I342&gt;=90,"امتياز",IF(I342&gt;=80,"جيدجدا",IF(I342&gt;=70,"جيد",IF(I342&gt;=60,"متوسط ",IF(I342&gt;=50,"مقبول","ضعيف")))))</f>
        <v>مقبول</v>
      </c>
      <c r="N342" s="7">
        <v>22</v>
      </c>
      <c r="O342" s="7" t="s">
        <v>6</v>
      </c>
      <c r="P342" s="7">
        <v>42</v>
      </c>
      <c r="Q342" s="7">
        <v>58</v>
      </c>
      <c r="R342" s="17">
        <v>72.41</v>
      </c>
      <c r="S342" s="17"/>
      <c r="T342" s="17"/>
      <c r="U342" s="17"/>
    </row>
    <row r="343" spans="1:21" ht="24" customHeight="1" thickBot="1" x14ac:dyDescent="0.3">
      <c r="A343" s="6">
        <v>342</v>
      </c>
      <c r="B343" s="13" t="s">
        <v>355</v>
      </c>
      <c r="C343" s="15" t="s">
        <v>698</v>
      </c>
      <c r="D343" s="8" t="s">
        <v>296</v>
      </c>
      <c r="E343" s="9">
        <v>44</v>
      </c>
      <c r="F343" s="9">
        <v>12</v>
      </c>
      <c r="G343" s="9">
        <f>F343+E343</f>
        <v>56</v>
      </c>
      <c r="H343" s="9">
        <v>0</v>
      </c>
      <c r="I343" s="9">
        <f>H343+G343</f>
        <v>56</v>
      </c>
      <c r="J343" s="10" t="s">
        <v>359</v>
      </c>
      <c r="K343" s="10" t="s">
        <v>717</v>
      </c>
      <c r="L343" s="11" t="str">
        <f>IF(I343&gt;=50,"ناجح","راسب")</f>
        <v>ناجح</v>
      </c>
      <c r="M343" s="11" t="str">
        <f>IF(I343&gt;=90,"امتياز",IF(I343&gt;=80,"جيدجدا",IF(I343&gt;=70,"جيد",IF(I343&gt;=60,"متوسط ",IF(I343&gt;=50,"مقبول","ضعيف")))))</f>
        <v>مقبول</v>
      </c>
      <c r="N343" s="7">
        <v>18</v>
      </c>
      <c r="O343" s="7" t="s">
        <v>6</v>
      </c>
      <c r="P343" s="7">
        <v>42</v>
      </c>
      <c r="Q343" s="7">
        <v>58</v>
      </c>
      <c r="R343" s="17">
        <v>72.41</v>
      </c>
      <c r="S343" s="17"/>
      <c r="T343" s="17"/>
      <c r="U343" s="17"/>
    </row>
    <row r="344" spans="1:21" ht="24" customHeight="1" thickBot="1" x14ac:dyDescent="0.3">
      <c r="A344" s="6">
        <v>343</v>
      </c>
      <c r="B344" s="13" t="s">
        <v>356</v>
      </c>
      <c r="C344" s="15" t="s">
        <v>699</v>
      </c>
      <c r="D344" s="8" t="s">
        <v>296</v>
      </c>
      <c r="E344" s="9">
        <v>0</v>
      </c>
      <c r="F344" s="9">
        <v>0</v>
      </c>
      <c r="G344" s="9">
        <f>F344+E344</f>
        <v>0</v>
      </c>
      <c r="H344" s="9">
        <v>0</v>
      </c>
      <c r="I344" s="9">
        <f>H344+G344</f>
        <v>0</v>
      </c>
      <c r="J344" s="10" t="s">
        <v>359</v>
      </c>
      <c r="K344" s="10" t="s">
        <v>717</v>
      </c>
      <c r="L344" s="11" t="str">
        <f>IF(I344&gt;=50,"ناجح","راسب")</f>
        <v>راسب</v>
      </c>
      <c r="M344" s="11" t="str">
        <f>IF(I344&gt;=90,"امتياز",IF(I344&gt;=80,"جيدجدا",IF(I344&gt;=70,"جيد",IF(I344&gt;=60,"متوسط ",IF(I344&gt;=50,"مقبول","ضعيف")))))</f>
        <v>ضعيف</v>
      </c>
      <c r="N344" s="7"/>
      <c r="O344" s="7"/>
      <c r="P344" s="7">
        <v>42</v>
      </c>
      <c r="Q344" s="7">
        <v>58</v>
      </c>
      <c r="R344" s="17">
        <v>72.41</v>
      </c>
      <c r="S344" s="17"/>
      <c r="T344" s="17"/>
      <c r="U344" s="17"/>
    </row>
    <row r="345" spans="1:21" ht="24" customHeight="1" thickBot="1" x14ac:dyDescent="0.3">
      <c r="A345" s="6">
        <v>344</v>
      </c>
      <c r="B345" s="13" t="s">
        <v>357</v>
      </c>
      <c r="C345" s="15" t="s">
        <v>700</v>
      </c>
      <c r="D345" s="8" t="s">
        <v>296</v>
      </c>
      <c r="E345" s="9">
        <v>52</v>
      </c>
      <c r="F345" s="9">
        <v>12</v>
      </c>
      <c r="G345" s="9">
        <f>F345+E345</f>
        <v>64</v>
      </c>
      <c r="H345" s="9">
        <v>0</v>
      </c>
      <c r="I345" s="9">
        <f>H345+G345</f>
        <v>64</v>
      </c>
      <c r="J345" s="10" t="s">
        <v>359</v>
      </c>
      <c r="K345" s="10" t="s">
        <v>717</v>
      </c>
      <c r="L345" s="11" t="str">
        <f>IF(I345&gt;=50,"ناجح","راسب")</f>
        <v>ناجح</v>
      </c>
      <c r="M345" s="11" t="str">
        <f>IF(I345&gt;=90,"امتياز",IF(I345&gt;=80,"جيدجدا",IF(I345&gt;=70,"جيد",IF(I345&gt;=60,"متوسط ",IF(I345&gt;=50,"مقبول","ضعيف")))))</f>
        <v xml:space="preserve">متوسط </v>
      </c>
      <c r="N345" s="7">
        <v>11</v>
      </c>
      <c r="O345" s="7" t="s">
        <v>6</v>
      </c>
      <c r="P345" s="7">
        <v>42</v>
      </c>
      <c r="Q345" s="7">
        <v>58</v>
      </c>
      <c r="R345" s="17">
        <v>72.41</v>
      </c>
      <c r="S345" s="17"/>
      <c r="T345" s="17"/>
      <c r="U345" s="17"/>
    </row>
  </sheetData>
  <sortState xmlns:xlrd2="http://schemas.microsoft.com/office/spreadsheetml/2017/richdata2" ref="A178:U234">
    <sortCondition ref="B2:B234"/>
  </sortState>
  <phoneticPr fontId="3" type="noConversion"/>
  <pageMargins left="0.25" right="0.25" top="0.75" bottom="0.75" header="0.3" footer="0.3"/>
  <pageSetup paperSize="3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hameed</dc:creator>
  <cp:lastModifiedBy>ahmed hameed</cp:lastModifiedBy>
  <cp:lastPrinted>2025-10-17T12:06:26Z</cp:lastPrinted>
  <dcterms:created xsi:type="dcterms:W3CDTF">2025-01-25T21:40:50Z</dcterms:created>
  <dcterms:modified xsi:type="dcterms:W3CDTF">2025-11-06T21:45:58Z</dcterms:modified>
</cp:coreProperties>
</file>